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3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55049a5c7c23eff/Área de Trabalho/Max Level/Excel Avançado/Aulas/Semana 04/"/>
    </mc:Choice>
  </mc:AlternateContent>
  <xr:revisionPtr revIDLastSave="30" documentId="13_ncr:1_{E112DA0C-C306-4875-856A-0A62C279EB1C}" xr6:coauthVersionLast="45" xr6:coauthVersionMax="45" xr10:uidLastSave="{DE9997BE-BBDE-4F56-A776-5CC6F3A3B52D}"/>
  <bookViews>
    <workbookView xWindow="-120" yWindow="-120" windowWidth="20730" windowHeight="11760" activeTab="3" xr2:uid="{1EA2116D-1110-488E-AD44-F64E893B12D1}"/>
  </bookViews>
  <sheets>
    <sheet name="FÓRMULÁRIOS_exemplo01" sheetId="1" r:id="rId1"/>
    <sheet name="Formulário_exemplo02" sheetId="2" r:id="rId2"/>
    <sheet name="Formulário_Aula" sheetId="3" r:id="rId3"/>
    <sheet name="Projeto" sheetId="5" r:id="rId4"/>
    <sheet name="Fórmulas" sheetId="4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1" i="3" l="1"/>
  <c r="C18" i="3"/>
  <c r="B12" i="3"/>
  <c r="F12" i="3"/>
  <c r="D12" i="3"/>
  <c r="E18" i="3" l="1"/>
  <c r="E20" i="3" s="1"/>
  <c r="B25" i="3" s="1"/>
  <c r="G20" i="3" s="1"/>
  <c r="E26" i="3" s="1"/>
  <c r="D22" i="2"/>
  <c r="H15" i="2"/>
  <c r="B20" i="2" l="1"/>
  <c r="E15" i="2"/>
  <c r="B15" i="2"/>
  <c r="E20" i="2" l="1"/>
  <c r="D21" i="2" s="1"/>
  <c r="B25" i="2" s="1"/>
  <c r="G22" i="2" s="1"/>
  <c r="F25" i="1"/>
  <c r="C23" i="1"/>
  <c r="I16" i="1"/>
  <c r="F23" i="1" s="1"/>
  <c r="F24" i="1" s="1"/>
  <c r="C26" i="1" s="1"/>
  <c r="F16" i="1"/>
  <c r="C16" i="1"/>
  <c r="F25" i="2" l="1"/>
  <c r="I25" i="1"/>
  <c r="F28" i="1" s="1"/>
</calcChain>
</file>

<file path=xl/sharedStrings.xml><?xml version="1.0" encoding="utf-8"?>
<sst xmlns="http://schemas.openxmlformats.org/spreadsheetml/2006/main" count="205" uniqueCount="66">
  <si>
    <t>VENDA DE COMPUTADORES</t>
  </si>
  <si>
    <t>Processador</t>
  </si>
  <si>
    <t>AMD</t>
  </si>
  <si>
    <t>Intel Core 2D</t>
  </si>
  <si>
    <t>Intel i5</t>
  </si>
  <si>
    <t>4GB</t>
  </si>
  <si>
    <t>2GB</t>
  </si>
  <si>
    <t>Web Cam</t>
  </si>
  <si>
    <t>Pen Drive</t>
  </si>
  <si>
    <t>Impressora</t>
  </si>
  <si>
    <t>Placa Vídeo</t>
  </si>
  <si>
    <t>Microfone</t>
  </si>
  <si>
    <t>Valores</t>
  </si>
  <si>
    <t>Controle</t>
  </si>
  <si>
    <t>Local Entrega</t>
  </si>
  <si>
    <t>Jussara - GO</t>
  </si>
  <si>
    <t>Jundiaí - SP</t>
  </si>
  <si>
    <t>Vitória - ES</t>
  </si>
  <si>
    <t>Salvador - BA</t>
  </si>
  <si>
    <t>Porto Alegre - RS</t>
  </si>
  <si>
    <t>São Paulo - SP</t>
  </si>
  <si>
    <t>Entrada</t>
  </si>
  <si>
    <t>Valor Base</t>
  </si>
  <si>
    <t>Saldo</t>
  </si>
  <si>
    <t>Juros</t>
  </si>
  <si>
    <t>Valor Total da compra</t>
  </si>
  <si>
    <t>N. Parcelas</t>
  </si>
  <si>
    <t>Valor Final</t>
  </si>
  <si>
    <t>Local da entrega</t>
  </si>
  <si>
    <t>Memória</t>
  </si>
  <si>
    <t>Acessórios</t>
  </si>
  <si>
    <t>Forma de Pagamento</t>
  </si>
  <si>
    <t>Formas de Pagamento</t>
  </si>
  <si>
    <t>À vista</t>
  </si>
  <si>
    <t>À Prazo</t>
  </si>
  <si>
    <t xml:space="preserve">Saldo </t>
  </si>
  <si>
    <t>Total da compra</t>
  </si>
  <si>
    <t>Valor Final das parcelas</t>
  </si>
  <si>
    <t>Local de Entrega</t>
  </si>
  <si>
    <t>Total</t>
  </si>
  <si>
    <t>2 a 4</t>
  </si>
  <si>
    <t>4 a 7</t>
  </si>
  <si>
    <t>7 a 10</t>
  </si>
  <si>
    <t>Parcelas</t>
  </si>
  <si>
    <t>Item do Formulário</t>
  </si>
  <si>
    <t>SE()</t>
  </si>
  <si>
    <t>Memórica</t>
  </si>
  <si>
    <t>SOMASE()</t>
  </si>
  <si>
    <t>à Vista</t>
  </si>
  <si>
    <t>somatório total dos valores, se não, valor 0.</t>
  </si>
  <si>
    <t>à Prazo</t>
  </si>
  <si>
    <t>Não tem valor Fixo</t>
  </si>
  <si>
    <t>à Prazo - Entrada</t>
  </si>
  <si>
    <t>Fórmula</t>
  </si>
  <si>
    <t>Descrição</t>
  </si>
  <si>
    <t>Se()</t>
  </si>
  <si>
    <t>Para cada intervalo do campo Parcelas, retornar um valor de juros da tabela em porcentagem</t>
  </si>
  <si>
    <t>Colocar uma verificação quando o prazo for zerado, para não ficar valores negativos</t>
  </si>
  <si>
    <t>Digitado pelo usuário</t>
  </si>
  <si>
    <t>Valor de Base</t>
  </si>
  <si>
    <t>Saldo/N. Parcelas</t>
  </si>
  <si>
    <t>(Juros*Valor de base) + Valor Base</t>
  </si>
  <si>
    <t>Vista, retorna o valor do campo a vista, se não, retorna, (Valor final*N.Parcelas)+ Entrada</t>
  </si>
  <si>
    <t>N.Parcelas</t>
  </si>
  <si>
    <t>Total Compra</t>
  </si>
  <si>
    <t>Valor final das parcelas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</si>
</sst>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#,##0.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theme="1"/>
      <name val="Arial"/>
      <family val="2"/>
    </font>
    <font>
      <sz val="14"/>
      <color theme="1"/>
      <name val="Times New Roman"/>
      <family val="1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 applyAlignment="1"/>
    <xf numFmtId="0" fontId="0" fillId="0" borderId="3" xfId="0" applyFill="1" applyBorder="1" applyAlignment="1"/>
    <xf numFmtId="0" fontId="4" fillId="0" borderId="0" xfId="0" applyFont="1"/>
    <xf numFmtId="0" fontId="0" fillId="3" borderId="0" xfId="0" applyFill="1"/>
    <xf numFmtId="0" fontId="0" fillId="3" borderId="5" xfId="0" applyFill="1" applyBorder="1"/>
    <xf numFmtId="0" fontId="0" fillId="3" borderId="6" xfId="0" applyFill="1" applyBorder="1"/>
    <xf numFmtId="0" fontId="0" fillId="3" borderId="4" xfId="0" applyFill="1" applyBorder="1"/>
    <xf numFmtId="0" fontId="0" fillId="3" borderId="7" xfId="0" applyFill="1" applyBorder="1"/>
    <xf numFmtId="0" fontId="0" fillId="4" borderId="1" xfId="0" applyFill="1" applyBorder="1"/>
    <xf numFmtId="0" fontId="3" fillId="0" borderId="0" xfId="0" applyFont="1"/>
    <xf numFmtId="0" fontId="0" fillId="0" borderId="0" xfId="0" applyFont="1"/>
    <xf numFmtId="0" fontId="0" fillId="3" borderId="0" xfId="0" applyFill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164" fontId="0" fillId="4" borderId="1" xfId="0" applyNumberFormat="1" applyFill="1" applyBorder="1"/>
    <xf numFmtId="10" fontId="0" fillId="0" borderId="0" xfId="0" applyNumberFormat="1"/>
    <xf numFmtId="0" fontId="0" fillId="0" borderId="0" xfId="0" applyAlignment="1">
      <alignment horizontal="left"/>
    </xf>
    <xf numFmtId="0" fontId="0" fillId="5" borderId="0" xfId="0" applyFill="1"/>
    <xf numFmtId="0" fontId="0" fillId="5" borderId="5" xfId="0" applyFill="1" applyBorder="1"/>
    <xf numFmtId="0" fontId="0" fillId="5" borderId="6" xfId="0" applyFill="1" applyBorder="1"/>
    <xf numFmtId="0" fontId="0" fillId="5" borderId="4" xfId="0" applyFill="1" applyBorder="1"/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0" fillId="5" borderId="10" xfId="0" applyFill="1" applyBorder="1"/>
    <xf numFmtId="0" fontId="0" fillId="6" borderId="0" xfId="0" applyFill="1"/>
    <xf numFmtId="0" fontId="3" fillId="6" borderId="0" xfId="0" applyFont="1" applyFill="1" applyAlignment="1">
      <alignment horizontal="center"/>
    </xf>
    <xf numFmtId="0" fontId="3" fillId="6" borderId="0" xfId="0" applyFont="1" applyFill="1"/>
    <xf numFmtId="0" fontId="0" fillId="6" borderId="0" xfId="0" applyFill="1" applyAlignment="1">
      <alignment horizontal="center"/>
    </xf>
    <xf numFmtId="0" fontId="3" fillId="6" borderId="0" xfId="0" applyFont="1" applyFill="1" applyAlignment="1">
      <alignment horizontal="center"/>
    </xf>
    <xf numFmtId="10" fontId="0" fillId="6" borderId="0" xfId="0" applyNumberFormat="1" applyFill="1" applyAlignment="1">
      <alignment horizontal="center"/>
    </xf>
    <xf numFmtId="0" fontId="8" fillId="5" borderId="9" xfId="0" applyFont="1" applyFill="1" applyBorder="1"/>
    <xf numFmtId="0" fontId="8" fillId="5" borderId="0" xfId="0" applyFont="1" applyFill="1"/>
    <xf numFmtId="0" fontId="8" fillId="5" borderId="9" xfId="0" applyFont="1" applyFill="1" applyBorder="1" applyAlignment="1">
      <alignment horizontal="right"/>
    </xf>
    <xf numFmtId="0" fontId="7" fillId="5" borderId="0" xfId="0" applyFont="1" applyFill="1" applyAlignment="1">
      <alignment horizontal="right"/>
    </xf>
    <xf numFmtId="0" fontId="8" fillId="5" borderId="0" xfId="0" applyFont="1" applyFill="1" applyAlignment="1">
      <alignment horizontal="right"/>
    </xf>
    <xf numFmtId="0" fontId="9" fillId="5" borderId="0" xfId="0" applyFont="1" applyFill="1" applyAlignment="1">
      <alignment horizontal="left"/>
    </xf>
    <xf numFmtId="0" fontId="9" fillId="5" borderId="0" xfId="0" applyFont="1" applyFill="1" applyAlignment="1">
      <alignment horizontal="center" vertical="center" wrapText="1"/>
    </xf>
    <xf numFmtId="10" fontId="0" fillId="4" borderId="1" xfId="0" applyNumberFormat="1" applyFill="1" applyBorder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/>
    </xf>
    <xf numFmtId="164" fontId="0" fillId="6" borderId="0" xfId="0" applyNumberForma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Radio" checked="Checked" firstButton="1" fmlaLink="$O$4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firstButton="1" fmlaLink="$O$7" lockText="1" noThreeD="1"/>
</file>

<file path=xl/ctrlProps/ctrlProp8.xml><?xml version="1.0" encoding="utf-8"?>
<formControlPr xmlns="http://schemas.microsoft.com/office/spreadsheetml/2009/9/main" objectType="Radio" checked="Checked" lockText="1" noThreeD="1"/>
</file>

<file path=xl/ctrlProps/ctrlProp9.xml><?xml version="1.0" encoding="utf-8"?>
<formControlPr xmlns="http://schemas.microsoft.com/office/spreadsheetml/2009/9/main" objectType="CheckBox" checked="Checked" fmlaLink="$O$9" lockText="1" noThreeD="1"/>
</file>

<file path=xl/ctrlProps/ctrlProp10.xml><?xml version="1.0" encoding="utf-8"?>
<formControlPr xmlns="http://schemas.microsoft.com/office/spreadsheetml/2009/9/main" objectType="CheckBox" fmlaLink="$O$10" lockText="1" noThreeD="1"/>
</file>

<file path=xl/ctrlProps/ctrlProp11.xml><?xml version="1.0" encoding="utf-8"?>
<formControlPr xmlns="http://schemas.microsoft.com/office/spreadsheetml/2009/9/main" objectType="CheckBox" fmlaLink="$O$11" lockText="1" noThreeD="1"/>
</file>

<file path=xl/ctrlProps/ctrlProp12.xml><?xml version="1.0" encoding="utf-8"?>
<formControlPr xmlns="http://schemas.microsoft.com/office/spreadsheetml/2009/9/main" objectType="CheckBox" checked="Checked" fmlaLink="$O$13" lockText="1" noThreeD="1"/>
</file>

<file path=xl/ctrlProps/ctrlProp13.xml><?xml version="1.0" encoding="utf-8"?>
<formControlPr xmlns="http://schemas.microsoft.com/office/spreadsheetml/2009/9/main" objectType="CheckBox" fmlaLink="$O$12" lockText="1" noThreeD="1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Radio" firstButton="1" fmlaLink="$N$16" lockText="1" noThreeD="1"/>
</file>

<file path=xl/ctrlProps/ctrlProp16.xml><?xml version="1.0" encoding="utf-8"?>
<formControlPr xmlns="http://schemas.microsoft.com/office/spreadsheetml/2009/9/main" objectType="Radio" checked="Checked" lockText="1" noThreeD="1"/>
</file>

<file path=xl/ctrlProps/ctrlProp17.xml><?xml version="1.0" encoding="utf-8"?>
<formControlPr xmlns="http://schemas.microsoft.com/office/spreadsheetml/2009/9/main" objectType="Drop" dropLines="6" dropStyle="combo" dx="22" fmlaLink="$Q$4" fmlaRange="$P$4:$P$9" sel="2" val="0"/>
</file>

<file path=xl/ctrlProps/ctrlProp18.xml><?xml version="1.0" encoding="utf-8"?>
<formControlPr xmlns="http://schemas.microsoft.com/office/spreadsheetml/2009/9/main" objectType="GBox"/>
</file>

<file path=xl/ctrlProps/ctrlProp19.xml><?xml version="1.0" encoding="utf-8"?>
<formControlPr xmlns="http://schemas.microsoft.com/office/spreadsheetml/2009/9/main" objectType="Radio" firstButton="1" fmlaLink="$P$4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Radio" firstButton="1" fmlaLink="$P$8" lockText="1" noThreeD="1"/>
</file>

<file path=xl/ctrlProps/ctrlProp24.xml><?xml version="1.0" encoding="utf-8"?>
<formControlPr xmlns="http://schemas.microsoft.com/office/spreadsheetml/2009/9/main" objectType="Radio" checked="Checked" lockText="1" noThreeD="1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CheckBox" checked="Checked" fmlaLink="$P$11" lockText="1" noThreeD="1"/>
</file>

<file path=xl/ctrlProps/ctrlProp27.xml><?xml version="1.0" encoding="utf-8"?>
<formControlPr xmlns="http://schemas.microsoft.com/office/spreadsheetml/2009/9/main" objectType="CheckBox" fmlaLink="$P$12" lockText="1" noThreeD="1"/>
</file>

<file path=xl/ctrlProps/ctrlProp28.xml><?xml version="1.0" encoding="utf-8"?>
<formControlPr xmlns="http://schemas.microsoft.com/office/spreadsheetml/2009/9/main" objectType="CheckBox" fmlaLink="$P$13" lockText="1" noThreeD="1"/>
</file>

<file path=xl/ctrlProps/ctrlProp29.xml><?xml version="1.0" encoding="utf-8"?>
<formControlPr xmlns="http://schemas.microsoft.com/office/spreadsheetml/2009/9/main" objectType="CheckBox" fmlaLink="$P$14" lockText="1" noThreeD="1"/>
</file>

<file path=xl/ctrlProps/ctrlProp30.xml><?xml version="1.0" encoding="utf-8"?>
<formControlPr xmlns="http://schemas.microsoft.com/office/spreadsheetml/2009/9/main" objectType="CheckBox" fmlaLink="$P$15" lockText="1" noThreeD="1"/>
</file>

<file path=xl/ctrlProps/ctrlProp31.xml><?xml version="1.0" encoding="utf-8"?>
<formControlPr xmlns="http://schemas.microsoft.com/office/spreadsheetml/2009/9/main" objectType="GBox"/>
</file>

<file path=xl/ctrlProps/ctrlProp32.xml><?xml version="1.0" encoding="utf-8"?>
<formControlPr xmlns="http://schemas.microsoft.com/office/spreadsheetml/2009/9/main" objectType="Radio" firstButton="1" fmlaLink="$M$20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Drop" dropLines="6" dropStyle="combo" dx="22" fmlaLink="$R$4" fmlaRange="$Q$4:$Q$9" noThreeD="1" sel="4" val="0"/>
</file>

<file path=xl/ctrlProps/ctrlProp35.xml><?xml version="1.0" encoding="utf-8"?>
<formControlPr xmlns="http://schemas.microsoft.com/office/spreadsheetml/2009/9/main" objectType="GBox"/>
</file>

<file path=xl/ctrlProps/ctrlProp36.xml><?xml version="1.0" encoding="utf-8"?>
<formControlPr xmlns="http://schemas.microsoft.com/office/spreadsheetml/2009/9/main" objectType="GBox"/>
</file>

<file path=xl/ctrlProps/ctrlProp37.xml><?xml version="1.0" encoding="utf-8"?>
<formControlPr xmlns="http://schemas.microsoft.com/office/spreadsheetml/2009/9/main" objectType="GBox"/>
</file>

<file path=xl/ctrlProps/ctrlProp38.xml><?xml version="1.0" encoding="utf-8"?>
<formControlPr xmlns="http://schemas.microsoft.com/office/spreadsheetml/2009/9/main" objectType="GBox"/>
</file>

<file path=xl/ctrlProps/ctrlProp39.xml><?xml version="1.0" encoding="utf-8"?>
<formControlPr xmlns="http://schemas.microsoft.com/office/spreadsheetml/2009/9/main" objectType="Radio" firstButton="1" fmlaLink="$N$4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checked="Checked" lockText="1" noThreeD="1"/>
</file>

<file path=xl/ctrlProps/ctrlProp42.xml><?xml version="1.0" encoding="utf-8"?>
<formControlPr xmlns="http://schemas.microsoft.com/office/spreadsheetml/2009/9/main" objectType="Radio" firstButton="1" fmlaLink="$N$8" lockText="1" noThreeD="1"/>
</file>

<file path=xl/ctrlProps/ctrlProp43.xml><?xml version="1.0" encoding="utf-8"?>
<formControlPr xmlns="http://schemas.microsoft.com/office/spreadsheetml/2009/9/main" objectType="Radio" checked="Checked" lockText="1" noThreeD="1"/>
</file>

<file path=xl/ctrlProps/ctrlProp44.xml><?xml version="1.0" encoding="utf-8"?>
<formControlPr xmlns="http://schemas.microsoft.com/office/spreadsheetml/2009/9/main" objectType="CheckBox" checked="Checked" fmlaLink="$N$11" lockText="1" noThreeD="1"/>
</file>

<file path=xl/ctrlProps/ctrlProp45.xml><?xml version="1.0" encoding="utf-8"?>
<formControlPr xmlns="http://schemas.microsoft.com/office/spreadsheetml/2009/9/main" objectType="CheckBox" checked="Checked" fmlaLink="$N$12" lockText="1" noThreeD="1"/>
</file>

<file path=xl/ctrlProps/ctrlProp46.xml><?xml version="1.0" encoding="utf-8"?>
<formControlPr xmlns="http://schemas.microsoft.com/office/spreadsheetml/2009/9/main" objectType="CheckBox" checked="Checked" fmlaLink="$N$13" lockText="1" noThreeD="1"/>
</file>

<file path=xl/ctrlProps/ctrlProp47.xml><?xml version="1.0" encoding="utf-8"?>
<formControlPr xmlns="http://schemas.microsoft.com/office/spreadsheetml/2009/9/main" objectType="CheckBox" checked="Checked" fmlaLink="$N$14" lockText="1" noThreeD="1"/>
</file>

<file path=xl/ctrlProps/ctrlProp48.xml><?xml version="1.0" encoding="utf-8"?>
<formControlPr xmlns="http://schemas.microsoft.com/office/spreadsheetml/2009/9/main" objectType="CheckBox" checked="Checked" fmlaLink="$N$15" lockText="1" noThreeD="1"/>
</file>

<file path=xl/ctrlProps/ctrlProp49.xml><?xml version="1.0" encoding="utf-8"?>
<formControlPr xmlns="http://schemas.microsoft.com/office/spreadsheetml/2009/9/main" objectType="Radio" checked="Checked" firstButton="1" fmlaLink="$K$20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Drop" dropLines="6" dropStyle="combo" dx="22" fmlaLink="$Q$4" fmlaRange="$P$4:$P$9" noThreeD="1" sel="3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4</xdr:row>
          <xdr:rowOff>9525</xdr:rowOff>
        </xdr:from>
        <xdr:to>
          <xdr:col>2</xdr:col>
          <xdr:colOff>304800</xdr:colOff>
          <xdr:row>11</xdr:row>
          <xdr:rowOff>161925</xdr:rowOff>
        </xdr:to>
        <xdr:sp macro="" textlink="">
          <xdr:nvSpPr>
            <xdr:cNvPr id="1026" name="Group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Processador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</xdr:row>
          <xdr:rowOff>171450</xdr:rowOff>
        </xdr:from>
        <xdr:to>
          <xdr:col>5</xdr:col>
          <xdr:colOff>28575</xdr:colOff>
          <xdr:row>9</xdr:row>
          <xdr:rowOff>142875</xdr:rowOff>
        </xdr:to>
        <xdr:sp macro="" textlink="">
          <xdr:nvSpPr>
            <xdr:cNvPr id="1032" name="Group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MEMÓRIA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3</xdr:row>
          <xdr:rowOff>161925</xdr:rowOff>
        </xdr:from>
        <xdr:to>
          <xdr:col>10</xdr:col>
          <xdr:colOff>419100</xdr:colOff>
          <xdr:row>12</xdr:row>
          <xdr:rowOff>95250</xdr:rowOff>
        </xdr:to>
        <xdr:sp macro="" textlink="">
          <xdr:nvSpPr>
            <xdr:cNvPr id="1035" name="Group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Acessórios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5</xdr:row>
          <xdr:rowOff>47625</xdr:rowOff>
        </xdr:from>
        <xdr:to>
          <xdr:col>1</xdr:col>
          <xdr:colOff>428625</xdr:colOff>
          <xdr:row>6</xdr:row>
          <xdr:rowOff>76200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6</xdr:row>
          <xdr:rowOff>142875</xdr:rowOff>
        </xdr:from>
        <xdr:to>
          <xdr:col>1</xdr:col>
          <xdr:colOff>180975</xdr:colOff>
          <xdr:row>7</xdr:row>
          <xdr:rowOff>171450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Intel Core 2D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8</xdr:row>
          <xdr:rowOff>66675</xdr:rowOff>
        </xdr:from>
        <xdr:to>
          <xdr:col>1</xdr:col>
          <xdr:colOff>628650</xdr:colOff>
          <xdr:row>9</xdr:row>
          <xdr:rowOff>114300</xdr:rowOff>
        </xdr:to>
        <xdr:sp macro="" textlink="">
          <xdr:nvSpPr>
            <xdr:cNvPr id="1040" name="Option Button 16" descr="i7&#10;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Intel i5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5</xdr:row>
          <xdr:rowOff>66675</xdr:rowOff>
        </xdr:from>
        <xdr:to>
          <xdr:col>4</xdr:col>
          <xdr:colOff>638175</xdr:colOff>
          <xdr:row>6</xdr:row>
          <xdr:rowOff>123825</xdr:rowOff>
        </xdr:to>
        <xdr:sp macro="" textlink="">
          <xdr:nvSpPr>
            <xdr:cNvPr id="1041" name="Option 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4GB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7</xdr:row>
          <xdr:rowOff>9525</xdr:rowOff>
        </xdr:from>
        <xdr:to>
          <xdr:col>4</xdr:col>
          <xdr:colOff>552450</xdr:colOff>
          <xdr:row>8</xdr:row>
          <xdr:rowOff>85725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2GB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4</xdr:row>
          <xdr:rowOff>171450</xdr:rowOff>
        </xdr:from>
        <xdr:to>
          <xdr:col>7</xdr:col>
          <xdr:colOff>695325</xdr:colOff>
          <xdr:row>6</xdr:row>
          <xdr:rowOff>85725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Web Cam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466725</xdr:colOff>
          <xdr:row>6</xdr:row>
          <xdr:rowOff>114300</xdr:rowOff>
        </xdr:from>
        <xdr:to>
          <xdr:col>7</xdr:col>
          <xdr:colOff>704850</xdr:colOff>
          <xdr:row>8</xdr:row>
          <xdr:rowOff>57150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Pen Drive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476250</xdr:colOff>
          <xdr:row>8</xdr:row>
          <xdr:rowOff>66675</xdr:rowOff>
        </xdr:from>
        <xdr:to>
          <xdr:col>8</xdr:col>
          <xdr:colOff>19050</xdr:colOff>
          <xdr:row>10</xdr:row>
          <xdr:rowOff>66675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Impressora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5</xdr:row>
          <xdr:rowOff>66675</xdr:rowOff>
        </xdr:from>
        <xdr:to>
          <xdr:col>10</xdr:col>
          <xdr:colOff>257175</xdr:colOff>
          <xdr:row>7</xdr:row>
          <xdr:rowOff>95250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Microfone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314325</xdr:colOff>
          <xdr:row>7</xdr:row>
          <xdr:rowOff>76200</xdr:rowOff>
        </xdr:from>
        <xdr:to>
          <xdr:col>10</xdr:col>
          <xdr:colOff>180975</xdr:colOff>
          <xdr:row>8</xdr:row>
          <xdr:rowOff>161925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Placa de vídeo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20</xdr:row>
          <xdr:rowOff>123825</xdr:rowOff>
        </xdr:from>
        <xdr:to>
          <xdr:col>10</xdr:col>
          <xdr:colOff>447675</xdr:colOff>
          <xdr:row>29</xdr:row>
          <xdr:rowOff>85725</xdr:rowOff>
        </xdr:to>
        <xdr:sp macro="" textlink="">
          <xdr:nvSpPr>
            <xdr:cNvPr id="1048" name="Group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Forma de Pagamento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21</xdr:row>
          <xdr:rowOff>171450</xdr:rowOff>
        </xdr:from>
        <xdr:to>
          <xdr:col>1</xdr:col>
          <xdr:colOff>561975</xdr:colOff>
          <xdr:row>22</xdr:row>
          <xdr:rowOff>190500</xdr:rowOff>
        </xdr:to>
        <xdr:sp macro="" textlink="">
          <xdr:nvSpPr>
            <xdr:cNvPr id="1049" name="Option 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À Vista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542925</xdr:colOff>
          <xdr:row>21</xdr:row>
          <xdr:rowOff>171450</xdr:rowOff>
        </xdr:from>
        <xdr:to>
          <xdr:col>4</xdr:col>
          <xdr:colOff>676275</xdr:colOff>
          <xdr:row>23</xdr:row>
          <xdr:rowOff>28575</xdr:rowOff>
        </xdr:to>
        <xdr:sp macro="" textlink="">
          <xdr:nvSpPr>
            <xdr:cNvPr id="1050" name="Option 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À Prazo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27</xdr:row>
          <xdr:rowOff>0</xdr:rowOff>
        </xdr:from>
        <xdr:to>
          <xdr:col>10</xdr:col>
          <xdr:colOff>200025</xdr:colOff>
          <xdr:row>27</xdr:row>
          <xdr:rowOff>190500</xdr:rowOff>
        </xdr:to>
        <xdr:sp macro="" textlink="">
          <xdr:nvSpPr>
            <xdr:cNvPr id="1053" name="Drop Dow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3</xdr:row>
          <xdr:rowOff>123825</xdr:rowOff>
        </xdr:from>
        <xdr:to>
          <xdr:col>1</xdr:col>
          <xdr:colOff>533400</xdr:colOff>
          <xdr:row>8</xdr:row>
          <xdr:rowOff>142875</xdr:rowOff>
        </xdr:to>
        <xdr:sp macro="" textlink="">
          <xdr:nvSpPr>
            <xdr:cNvPr id="2049" name="Group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Processador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4</xdr:row>
          <xdr:rowOff>95250</xdr:rowOff>
        </xdr:from>
        <xdr:to>
          <xdr:col>1</xdr:col>
          <xdr:colOff>247650</xdr:colOff>
          <xdr:row>5</xdr:row>
          <xdr:rowOff>123825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5</xdr:row>
          <xdr:rowOff>180975</xdr:rowOff>
        </xdr:from>
        <xdr:to>
          <xdr:col>1</xdr:col>
          <xdr:colOff>485775</xdr:colOff>
          <xdr:row>7</xdr:row>
          <xdr:rowOff>38100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Intel Core 2D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7</xdr:row>
          <xdr:rowOff>47625</xdr:rowOff>
        </xdr:from>
        <xdr:to>
          <xdr:col>1</xdr:col>
          <xdr:colOff>247650</xdr:colOff>
          <xdr:row>8</xdr:row>
          <xdr:rowOff>76200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Intel Core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3</xdr:row>
          <xdr:rowOff>114300</xdr:rowOff>
        </xdr:from>
        <xdr:to>
          <xdr:col>4</xdr:col>
          <xdr:colOff>581025</xdr:colOff>
          <xdr:row>8</xdr:row>
          <xdr:rowOff>161925</xdr:rowOff>
        </xdr:to>
        <xdr:sp macro="" textlink="">
          <xdr:nvSpPr>
            <xdr:cNvPr id="2053" name="Group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Memória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4</xdr:row>
          <xdr:rowOff>133350</xdr:rowOff>
        </xdr:from>
        <xdr:to>
          <xdr:col>4</xdr:col>
          <xdr:colOff>342900</xdr:colOff>
          <xdr:row>5</xdr:row>
          <xdr:rowOff>161925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4GB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85725</xdr:rowOff>
        </xdr:from>
        <xdr:to>
          <xdr:col>4</xdr:col>
          <xdr:colOff>161925</xdr:colOff>
          <xdr:row>7</xdr:row>
          <xdr:rowOff>133350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2GB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3</xdr:row>
          <xdr:rowOff>9525</xdr:rowOff>
        </xdr:from>
        <xdr:to>
          <xdr:col>8</xdr:col>
          <xdr:colOff>66675</xdr:colOff>
          <xdr:row>10</xdr:row>
          <xdr:rowOff>152400</xdr:rowOff>
        </xdr:to>
        <xdr:sp macro="" textlink="">
          <xdr:nvSpPr>
            <xdr:cNvPr id="2056" name="Group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Acessórios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4</xdr:row>
          <xdr:rowOff>38100</xdr:rowOff>
        </xdr:from>
        <xdr:to>
          <xdr:col>7</xdr:col>
          <xdr:colOff>180975</xdr:colOff>
          <xdr:row>6</xdr:row>
          <xdr:rowOff>19050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Web Cam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161925</xdr:rowOff>
        </xdr:from>
        <xdr:to>
          <xdr:col>7</xdr:col>
          <xdr:colOff>9525</xdr:colOff>
          <xdr:row>7</xdr:row>
          <xdr:rowOff>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Pen Drive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28575</xdr:rowOff>
        </xdr:from>
        <xdr:to>
          <xdr:col>7</xdr:col>
          <xdr:colOff>304800</xdr:colOff>
          <xdr:row>8</xdr:row>
          <xdr:rowOff>76200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Impressora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95250</xdr:rowOff>
        </xdr:from>
        <xdr:to>
          <xdr:col>7</xdr:col>
          <xdr:colOff>304800</xdr:colOff>
          <xdr:row>9</xdr:row>
          <xdr:rowOff>123825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Placa de vídeo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9</xdr:row>
          <xdr:rowOff>142875</xdr:rowOff>
        </xdr:from>
        <xdr:to>
          <xdr:col>7</xdr:col>
          <xdr:colOff>190500</xdr:colOff>
          <xdr:row>10</xdr:row>
          <xdr:rowOff>171450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Microfone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17</xdr:row>
          <xdr:rowOff>76200</xdr:rowOff>
        </xdr:from>
        <xdr:to>
          <xdr:col>7</xdr:col>
          <xdr:colOff>381000</xdr:colOff>
          <xdr:row>26</xdr:row>
          <xdr:rowOff>9525</xdr:rowOff>
        </xdr:to>
        <xdr:sp macro="" textlink="">
          <xdr:nvSpPr>
            <xdr:cNvPr id="2064" name="Group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Pagamento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18</xdr:row>
          <xdr:rowOff>180975</xdr:rowOff>
        </xdr:from>
        <xdr:to>
          <xdr:col>0</xdr:col>
          <xdr:colOff>904875</xdr:colOff>
          <xdr:row>20</xdr:row>
          <xdr:rowOff>38100</xdr:rowOff>
        </xdr:to>
        <xdr:sp macro="" textlink="">
          <xdr:nvSpPr>
            <xdr:cNvPr id="2065" name="Option 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À Vista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18</xdr:row>
          <xdr:rowOff>171450</xdr:rowOff>
        </xdr:from>
        <xdr:to>
          <xdr:col>3</xdr:col>
          <xdr:colOff>466725</xdr:colOff>
          <xdr:row>20</xdr:row>
          <xdr:rowOff>19050</xdr:rowOff>
        </xdr:to>
        <xdr:sp macro="" textlink="">
          <xdr:nvSpPr>
            <xdr:cNvPr id="2066" name="Option 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À Prazo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24</xdr:row>
          <xdr:rowOff>38100</xdr:rowOff>
        </xdr:from>
        <xdr:to>
          <xdr:col>7</xdr:col>
          <xdr:colOff>238125</xdr:colOff>
          <xdr:row>25</xdr:row>
          <xdr:rowOff>38100</xdr:rowOff>
        </xdr:to>
        <xdr:sp macro="" textlink="">
          <xdr:nvSpPr>
            <xdr:cNvPr id="2067" name="Drop Dow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3</xdr:row>
          <xdr:rowOff>161925</xdr:rowOff>
        </xdr:from>
        <xdr:to>
          <xdr:col>2</xdr:col>
          <xdr:colOff>76200</xdr:colOff>
          <xdr:row>8</xdr:row>
          <xdr:rowOff>180975</xdr:rowOff>
        </xdr:to>
        <xdr:sp macro="" textlink="">
          <xdr:nvSpPr>
            <xdr:cNvPr id="3073" name="Group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Processador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4</xdr:row>
          <xdr:rowOff>0</xdr:rowOff>
        </xdr:from>
        <xdr:to>
          <xdr:col>4</xdr:col>
          <xdr:colOff>76200</xdr:colOff>
          <xdr:row>8</xdr:row>
          <xdr:rowOff>114300</xdr:rowOff>
        </xdr:to>
        <xdr:sp macro="" textlink="">
          <xdr:nvSpPr>
            <xdr:cNvPr id="3074" name="Group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Memória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3</xdr:row>
          <xdr:rowOff>171450</xdr:rowOff>
        </xdr:from>
        <xdr:to>
          <xdr:col>7</xdr:col>
          <xdr:colOff>180975</xdr:colOff>
          <xdr:row>10</xdr:row>
          <xdr:rowOff>104775</xdr:rowOff>
        </xdr:to>
        <xdr:sp macro="" textlink="">
          <xdr:nvSpPr>
            <xdr:cNvPr id="3075" name="Group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Acessórios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15</xdr:row>
          <xdr:rowOff>66675</xdr:rowOff>
        </xdr:from>
        <xdr:to>
          <xdr:col>7</xdr:col>
          <xdr:colOff>123825</xdr:colOff>
          <xdr:row>26</xdr:row>
          <xdr:rowOff>161925</xdr:rowOff>
        </xdr:to>
        <xdr:sp macro="" textlink="">
          <xdr:nvSpPr>
            <xdr:cNvPr id="3076" name="Group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Pagamento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4</xdr:row>
          <xdr:rowOff>142875</xdr:rowOff>
        </xdr:from>
        <xdr:to>
          <xdr:col>1</xdr:col>
          <xdr:colOff>419100</xdr:colOff>
          <xdr:row>5</xdr:row>
          <xdr:rowOff>171450</xdr:rowOff>
        </xdr:to>
        <xdr:sp macro="" textlink="">
          <xdr:nvSpPr>
            <xdr:cNvPr id="3077" name="Option 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6</xdr:row>
          <xdr:rowOff>0</xdr:rowOff>
        </xdr:from>
        <xdr:to>
          <xdr:col>1</xdr:col>
          <xdr:colOff>552450</xdr:colOff>
          <xdr:row>7</xdr:row>
          <xdr:rowOff>28575</xdr:rowOff>
        </xdr:to>
        <xdr:sp macro="" textlink="">
          <xdr:nvSpPr>
            <xdr:cNvPr id="3078" name="Option 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Intel Core 2D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7</xdr:row>
          <xdr:rowOff>38100</xdr:rowOff>
        </xdr:from>
        <xdr:to>
          <xdr:col>1</xdr:col>
          <xdr:colOff>419100</xdr:colOff>
          <xdr:row>8</xdr:row>
          <xdr:rowOff>66675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Intel i5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5</xdr:row>
          <xdr:rowOff>19050</xdr:rowOff>
        </xdr:from>
        <xdr:to>
          <xdr:col>3</xdr:col>
          <xdr:colOff>552450</xdr:colOff>
          <xdr:row>6</xdr:row>
          <xdr:rowOff>47625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4GB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504825</xdr:colOff>
          <xdr:row>6</xdr:row>
          <xdr:rowOff>76200</xdr:rowOff>
        </xdr:from>
        <xdr:to>
          <xdr:col>3</xdr:col>
          <xdr:colOff>419100</xdr:colOff>
          <xdr:row>7</xdr:row>
          <xdr:rowOff>104775</xdr:rowOff>
        </xdr:to>
        <xdr:sp macro="" textlink="">
          <xdr:nvSpPr>
            <xdr:cNvPr id="3082" name="Option 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2GB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4</xdr:row>
          <xdr:rowOff>123825</xdr:rowOff>
        </xdr:from>
        <xdr:to>
          <xdr:col>6</xdr:col>
          <xdr:colOff>533400</xdr:colOff>
          <xdr:row>5</xdr:row>
          <xdr:rowOff>152400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Web Cam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5</xdr:row>
          <xdr:rowOff>161925</xdr:rowOff>
        </xdr:from>
        <xdr:to>
          <xdr:col>6</xdr:col>
          <xdr:colOff>228600</xdr:colOff>
          <xdr:row>7</xdr:row>
          <xdr:rowOff>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Pen Drive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7</xdr:row>
          <xdr:rowOff>19050</xdr:rowOff>
        </xdr:from>
        <xdr:to>
          <xdr:col>6</xdr:col>
          <xdr:colOff>133350</xdr:colOff>
          <xdr:row>8</xdr:row>
          <xdr:rowOff>47625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Impressora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8</xdr:row>
          <xdr:rowOff>28575</xdr:rowOff>
        </xdr:from>
        <xdr:to>
          <xdr:col>6</xdr:col>
          <xdr:colOff>323850</xdr:colOff>
          <xdr:row>9</xdr:row>
          <xdr:rowOff>57150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Placa de vídeo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9</xdr:row>
          <xdr:rowOff>57150</xdr:rowOff>
        </xdr:from>
        <xdr:to>
          <xdr:col>6</xdr:col>
          <xdr:colOff>333375</xdr:colOff>
          <xdr:row>10</xdr:row>
          <xdr:rowOff>85725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Microfone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533400</xdr:colOff>
          <xdr:row>17</xdr:row>
          <xdr:rowOff>9525</xdr:rowOff>
        </xdr:from>
        <xdr:to>
          <xdr:col>1</xdr:col>
          <xdr:colOff>571500</xdr:colOff>
          <xdr:row>18</xdr:row>
          <xdr:rowOff>38100</xdr:rowOff>
        </xdr:to>
        <xdr:sp macro="" textlink="">
          <xdr:nvSpPr>
            <xdr:cNvPr id="3089" name="Option 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À vista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0</xdr:rowOff>
        </xdr:from>
        <xdr:to>
          <xdr:col>3</xdr:col>
          <xdr:colOff>600075</xdr:colOff>
          <xdr:row>18</xdr:row>
          <xdr:rowOff>28575</xdr:rowOff>
        </xdr:to>
        <xdr:sp macro="" textlink="">
          <xdr:nvSpPr>
            <xdr:cNvPr id="3090" name="Option 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À Prazo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25</xdr:row>
          <xdr:rowOff>28575</xdr:rowOff>
        </xdr:from>
        <xdr:to>
          <xdr:col>7</xdr:col>
          <xdr:colOff>200025</xdr:colOff>
          <xdr:row>26</xdr:row>
          <xdr:rowOff>38100</xdr:rowOff>
        </xdr:to>
        <xdr:sp macro="" textlink="">
          <xdr:nvSpPr>
            <xdr:cNvPr id="3091" name="Drop Dow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trlProp" Target="../ctrlProps/ctrlProp27.xml"/><Relationship Id="rId18" Type="http://schemas.openxmlformats.org/officeDocument/2006/relationships/ctrlProp" Target="../ctrlProps/ctrlProp3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17" Type="http://schemas.openxmlformats.org/officeDocument/2006/relationships/ctrlProp" Target="../ctrlProps/ctrlProp3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0.xml"/><Relationship Id="rId20" Type="http://schemas.openxmlformats.org/officeDocument/2006/relationships/ctrlProp" Target="../ctrlProps/ctrlProp3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5" Type="http://schemas.openxmlformats.org/officeDocument/2006/relationships/ctrlProp" Target="../ctrlProps/ctrlProp29.xml"/><Relationship Id="rId10" Type="http://schemas.openxmlformats.org/officeDocument/2006/relationships/ctrlProp" Target="../ctrlProps/ctrlProp24.xml"/><Relationship Id="rId19" Type="http://schemas.openxmlformats.org/officeDocument/2006/relationships/ctrlProp" Target="../ctrlProps/ctrlProp33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Relationship Id="rId14" Type="http://schemas.openxmlformats.org/officeDocument/2006/relationships/ctrlProp" Target="../ctrlProps/ctrlProp2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13" Type="http://schemas.openxmlformats.org/officeDocument/2006/relationships/ctrlProp" Target="../ctrlProps/ctrlProp45.xml"/><Relationship Id="rId18" Type="http://schemas.openxmlformats.org/officeDocument/2006/relationships/ctrlProp" Target="../ctrlProps/ctrlProp50.xml"/><Relationship Id="rId3" Type="http://schemas.openxmlformats.org/officeDocument/2006/relationships/ctrlProp" Target="../ctrlProps/ctrlProp35.xml"/><Relationship Id="rId7" Type="http://schemas.openxmlformats.org/officeDocument/2006/relationships/ctrlProp" Target="../ctrlProps/ctrlProp39.xml"/><Relationship Id="rId12" Type="http://schemas.openxmlformats.org/officeDocument/2006/relationships/ctrlProp" Target="../ctrlProps/ctrlProp44.xml"/><Relationship Id="rId17" Type="http://schemas.openxmlformats.org/officeDocument/2006/relationships/ctrlProp" Target="../ctrlProps/ctrlProp49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48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5" Type="http://schemas.openxmlformats.org/officeDocument/2006/relationships/ctrlProp" Target="../ctrlProps/ctrlProp37.xml"/><Relationship Id="rId15" Type="http://schemas.openxmlformats.org/officeDocument/2006/relationships/ctrlProp" Target="../ctrlProps/ctrlProp47.xml"/><Relationship Id="rId10" Type="http://schemas.openxmlformats.org/officeDocument/2006/relationships/ctrlProp" Target="../ctrlProps/ctrlProp42.xml"/><Relationship Id="rId19" Type="http://schemas.openxmlformats.org/officeDocument/2006/relationships/ctrlProp" Target="../ctrlProps/ctrlProp51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Relationship Id="rId14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2325D-E296-48D1-A1CD-B1CB5352B9CF}">
  <sheetPr codeName="Planilha1"/>
  <dimension ref="A1:Q31"/>
  <sheetViews>
    <sheetView workbookViewId="0">
      <selection activeCell="I16" sqref="I16"/>
    </sheetView>
  </sheetViews>
  <sheetFormatPr defaultRowHeight="15" x14ac:dyDescent="0.25"/>
  <cols>
    <col min="2" max="2" width="11.7109375" bestFit="1" customWidth="1"/>
    <col min="5" max="5" width="20.42578125" bestFit="1" customWidth="1"/>
    <col min="8" max="8" width="10.7109375" bestFit="1" customWidth="1"/>
    <col min="13" max="13" width="20" bestFit="1" customWidth="1"/>
    <col min="14" max="14" width="7.7109375" bestFit="1" customWidth="1"/>
    <col min="15" max="15" width="12.42578125" bestFit="1" customWidth="1"/>
    <col min="16" max="16" width="16" bestFit="1" customWidth="1"/>
  </cols>
  <sheetData>
    <row r="1" spans="1:17" x14ac:dyDescent="0.25">
      <c r="A1" s="41" t="s">
        <v>0</v>
      </c>
      <c r="B1" s="41"/>
      <c r="C1" s="41"/>
      <c r="D1" s="41"/>
      <c r="E1" s="41"/>
      <c r="F1" s="41"/>
      <c r="G1" s="41"/>
      <c r="H1" s="41"/>
      <c r="I1" s="41"/>
      <c r="J1" s="41"/>
      <c r="K1" s="41"/>
    </row>
    <row r="2" spans="1:17" ht="15.75" customHeight="1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</row>
    <row r="3" spans="1:17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M3" s="1" t="s">
        <v>1</v>
      </c>
      <c r="N3" s="1" t="s">
        <v>12</v>
      </c>
      <c r="O3" s="1" t="s">
        <v>13</v>
      </c>
      <c r="P3" s="1" t="s">
        <v>14</v>
      </c>
    </row>
    <row r="4" spans="1:17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M4" s="2" t="s">
        <v>2</v>
      </c>
      <c r="N4" s="2">
        <v>190</v>
      </c>
      <c r="O4" s="2">
        <v>1</v>
      </c>
      <c r="P4" s="2" t="s">
        <v>15</v>
      </c>
      <c r="Q4">
        <v>2</v>
      </c>
    </row>
    <row r="5" spans="1:17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M5" s="2" t="s">
        <v>3</v>
      </c>
      <c r="N5" s="2">
        <v>258</v>
      </c>
      <c r="O5" s="2"/>
      <c r="P5" s="2" t="s">
        <v>16</v>
      </c>
    </row>
    <row r="6" spans="1:17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M6" s="2" t="s">
        <v>4</v>
      </c>
      <c r="N6" s="2">
        <v>389</v>
      </c>
      <c r="O6" s="2"/>
      <c r="P6" s="2" t="s">
        <v>17</v>
      </c>
    </row>
    <row r="7" spans="1:17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M7" s="2" t="s">
        <v>5</v>
      </c>
      <c r="N7" s="2">
        <v>190</v>
      </c>
      <c r="O7" s="2">
        <v>2</v>
      </c>
      <c r="P7" s="2" t="s">
        <v>18</v>
      </c>
    </row>
    <row r="8" spans="1:17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M8" s="2" t="s">
        <v>6</v>
      </c>
      <c r="N8" s="2">
        <v>150</v>
      </c>
      <c r="O8" s="2"/>
      <c r="P8" s="2" t="s">
        <v>19</v>
      </c>
    </row>
    <row r="9" spans="1:17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M9" s="2" t="s">
        <v>7</v>
      </c>
      <c r="N9" s="2">
        <v>75</v>
      </c>
      <c r="O9" s="2" t="b">
        <v>1</v>
      </c>
      <c r="P9" s="2" t="s">
        <v>20</v>
      </c>
    </row>
    <row r="10" spans="1:17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M10" s="2" t="s">
        <v>8</v>
      </c>
      <c r="N10" s="2">
        <v>49</v>
      </c>
      <c r="O10" s="2" t="b">
        <v>0</v>
      </c>
      <c r="P10" s="2"/>
    </row>
    <row r="11" spans="1:17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M11" s="2" t="s">
        <v>9</v>
      </c>
      <c r="N11" s="2">
        <v>358</v>
      </c>
      <c r="O11" s="2" t="b">
        <v>0</v>
      </c>
      <c r="P11" s="2"/>
    </row>
    <row r="12" spans="1:17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M12" s="2" t="s">
        <v>10</v>
      </c>
      <c r="N12" s="2">
        <v>275</v>
      </c>
      <c r="O12" s="2" t="b">
        <v>0</v>
      </c>
      <c r="P12" s="2"/>
    </row>
    <row r="13" spans="1:17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M13" s="2" t="s">
        <v>11</v>
      </c>
      <c r="N13" s="2">
        <v>65</v>
      </c>
      <c r="O13" s="2" t="b">
        <v>1</v>
      </c>
      <c r="P13" s="2"/>
    </row>
    <row r="14" spans="1:17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7" ht="15.75" thickBot="1" x14ac:dyDescent="0.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</row>
    <row r="16" spans="1:17" ht="15.75" thickBot="1" x14ac:dyDescent="0.3">
      <c r="A16" s="3"/>
      <c r="B16" s="3" t="s">
        <v>1</v>
      </c>
      <c r="C16" s="4">
        <f>IF(O4=1,N4,IF(O4=2,N5,N6))</f>
        <v>190</v>
      </c>
      <c r="D16" s="3"/>
      <c r="E16" s="3" t="s">
        <v>29</v>
      </c>
      <c r="F16" s="4">
        <f>IF(O7=1,N7,N8)</f>
        <v>150</v>
      </c>
      <c r="G16" s="3"/>
      <c r="H16" s="3" t="s">
        <v>30</v>
      </c>
      <c r="I16" s="4">
        <f>SUMIF(O9:O13,TRUE,N9:N13)</f>
        <v>140</v>
      </c>
      <c r="J16" s="3"/>
      <c r="K16" s="3"/>
      <c r="M16" s="2" t="s">
        <v>31</v>
      </c>
      <c r="N16">
        <v>2</v>
      </c>
    </row>
    <row r="17" spans="1:11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</row>
    <row r="18" spans="1:11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</row>
    <row r="19" spans="1:1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</row>
    <row r="20" spans="1:1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</row>
    <row r="21" spans="1:1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</row>
    <row r="22" spans="1:11" ht="15.75" thickBot="1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</row>
    <row r="23" spans="1:11" ht="15.75" thickBot="1" x14ac:dyDescent="0.3">
      <c r="A23" s="3"/>
      <c r="B23" s="3"/>
      <c r="C23" s="4" t="str">
        <f>IF(N16=1,SUM(C16,F16,I16),"")</f>
        <v/>
      </c>
      <c r="D23" s="3"/>
      <c r="E23" s="3"/>
      <c r="F23" s="4">
        <f>IF(N16=2,SUM(C16,F16,I16),"")</f>
        <v>480</v>
      </c>
      <c r="G23" s="3"/>
      <c r="H23" s="3"/>
      <c r="I23" s="3"/>
      <c r="J23" s="3"/>
      <c r="K23" s="3"/>
    </row>
    <row r="24" spans="1:11" ht="15.75" thickBot="1" x14ac:dyDescent="0.3">
      <c r="A24" s="3"/>
      <c r="B24" s="3"/>
      <c r="C24" s="3"/>
      <c r="D24" s="3"/>
      <c r="E24" s="3" t="s">
        <v>23</v>
      </c>
      <c r="F24" s="4">
        <f>IF(N16=2,F23-C25,"")</f>
        <v>280</v>
      </c>
      <c r="G24" s="3"/>
      <c r="H24" s="3" t="s">
        <v>26</v>
      </c>
      <c r="I24" s="4">
        <v>10</v>
      </c>
      <c r="J24" s="3"/>
      <c r="K24" s="3"/>
    </row>
    <row r="25" spans="1:11" ht="15.75" thickBot="1" x14ac:dyDescent="0.3">
      <c r="A25" s="3"/>
      <c r="B25" s="3" t="s">
        <v>21</v>
      </c>
      <c r="C25" s="4">
        <v>200</v>
      </c>
      <c r="D25" s="3"/>
      <c r="E25" s="3" t="s">
        <v>24</v>
      </c>
      <c r="F25" s="4">
        <f>IF(I24&lt;4,1.99%,IF(I24&gt;=7,3.5%,2.75%))</f>
        <v>3.5000000000000003E-2</v>
      </c>
      <c r="G25" s="3"/>
      <c r="H25" s="3" t="s">
        <v>27</v>
      </c>
      <c r="I25" s="4">
        <f>F25*C26+C26</f>
        <v>28.98</v>
      </c>
      <c r="J25" s="3"/>
      <c r="K25" s="3"/>
    </row>
    <row r="26" spans="1:11" ht="15.75" thickBot="1" x14ac:dyDescent="0.3">
      <c r="A26" s="3"/>
      <c r="B26" s="3" t="s">
        <v>22</v>
      </c>
      <c r="C26" s="4">
        <f>IF(N16=2,F24/I24,"")</f>
        <v>28</v>
      </c>
      <c r="D26" s="3"/>
      <c r="E26" s="3"/>
      <c r="F26" s="3"/>
      <c r="G26" s="3"/>
      <c r="H26" s="3"/>
      <c r="I26" s="3"/>
      <c r="J26" s="3"/>
      <c r="K26" s="3"/>
    </row>
    <row r="27" spans="1:11" ht="15.75" thickBot="1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</row>
    <row r="28" spans="1:11" ht="15.75" thickBot="1" x14ac:dyDescent="0.3">
      <c r="A28" s="3"/>
      <c r="B28" s="3"/>
      <c r="C28" s="3"/>
      <c r="D28" s="3"/>
      <c r="E28" s="3" t="s">
        <v>25</v>
      </c>
      <c r="F28" s="4">
        <f>IF(N16=2,I25*I24+C25,C23)</f>
        <v>489.8</v>
      </c>
      <c r="G28" s="3"/>
      <c r="H28" s="3" t="s">
        <v>28</v>
      </c>
      <c r="I28" s="3"/>
      <c r="J28" s="3"/>
      <c r="K28" s="3"/>
    </row>
    <row r="29" spans="1:11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</row>
    <row r="30" spans="1:1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</row>
    <row r="31" spans="1:1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</row>
  </sheetData>
  <mergeCells count="1">
    <mergeCell ref="A1:K2"/>
  </mergeCells>
  <dataValidations count="1">
    <dataValidation type="whole" allowBlank="1" showInputMessage="1" showErrorMessage="1" error="O número de parcelas deve ser maior que 2 e menor que 10!!" sqref="I24" xr:uid="{E861CAFF-3D4F-481A-9F0F-41483CEAF14E}">
      <formula1>2</formula1>
      <formula2>10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Group Box 2">
              <controlPr defaultSize="0" autoFill="0" autoPict="0">
                <anchor moveWithCells="1">
                  <from>
                    <xdr:col>0</xdr:col>
                    <xdr:colOff>85725</xdr:colOff>
                    <xdr:row>4</xdr:row>
                    <xdr:rowOff>9525</xdr:rowOff>
                  </from>
                  <to>
                    <xdr:col>2</xdr:col>
                    <xdr:colOff>304800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Group Box 8">
              <controlPr defaultSize="0" autoFill="0" autoPict="0">
                <anchor moveWithCells="1">
                  <from>
                    <xdr:col>3</xdr:col>
                    <xdr:colOff>28575</xdr:colOff>
                    <xdr:row>3</xdr:row>
                    <xdr:rowOff>171450</xdr:rowOff>
                  </from>
                  <to>
                    <xdr:col>5</xdr:col>
                    <xdr:colOff>28575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Group Box 11">
              <controlPr defaultSize="0" autoFill="0" autoPict="0">
                <anchor moveWithCells="1">
                  <from>
                    <xdr:col>6</xdr:col>
                    <xdr:colOff>247650</xdr:colOff>
                    <xdr:row>3</xdr:row>
                    <xdr:rowOff>161925</xdr:rowOff>
                  </from>
                  <to>
                    <xdr:col>10</xdr:col>
                    <xdr:colOff>419100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Option Button 14">
              <controlPr defaultSize="0" autoFill="0" autoLine="0" autoPict="0">
                <anchor moveWithCells="1">
                  <from>
                    <xdr:col>0</xdr:col>
                    <xdr:colOff>304800</xdr:colOff>
                    <xdr:row>5</xdr:row>
                    <xdr:rowOff>47625</xdr:rowOff>
                  </from>
                  <to>
                    <xdr:col>1</xdr:col>
                    <xdr:colOff>428625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Option Button 15">
              <controlPr defaultSize="0" autoFill="0" autoLine="0" autoPict="0">
                <anchor moveWithCells="1">
                  <from>
                    <xdr:col>0</xdr:col>
                    <xdr:colOff>304800</xdr:colOff>
                    <xdr:row>6</xdr:row>
                    <xdr:rowOff>142875</xdr:rowOff>
                  </from>
                  <to>
                    <xdr:col>1</xdr:col>
                    <xdr:colOff>180975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Option Button 16">
              <controlPr defaultSize="0" autoFill="0" autoLine="0" autoPict="0" altText="i7_x000a_">
                <anchor moveWithCells="1">
                  <from>
                    <xdr:col>0</xdr:col>
                    <xdr:colOff>314325</xdr:colOff>
                    <xdr:row>8</xdr:row>
                    <xdr:rowOff>66675</xdr:rowOff>
                  </from>
                  <to>
                    <xdr:col>1</xdr:col>
                    <xdr:colOff>628650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Option Button 17">
              <controlPr defaultSize="0" autoFill="0" autoLine="0" autoPict="0">
                <anchor moveWithCells="1">
                  <from>
                    <xdr:col>3</xdr:col>
                    <xdr:colOff>390525</xdr:colOff>
                    <xdr:row>5</xdr:row>
                    <xdr:rowOff>66675</xdr:rowOff>
                  </from>
                  <to>
                    <xdr:col>4</xdr:col>
                    <xdr:colOff>638175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Option Button 18">
              <controlPr defaultSize="0" autoFill="0" autoLine="0" autoPict="0">
                <anchor moveWithCells="1">
                  <from>
                    <xdr:col>3</xdr:col>
                    <xdr:colOff>390525</xdr:colOff>
                    <xdr:row>7</xdr:row>
                    <xdr:rowOff>9525</xdr:rowOff>
                  </from>
                  <to>
                    <xdr:col>4</xdr:col>
                    <xdr:colOff>552450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Check Box 19">
              <controlPr defaultSize="0" autoFill="0" autoLine="0" autoPict="0">
                <anchor moveWithCells="1">
                  <from>
                    <xdr:col>6</xdr:col>
                    <xdr:colOff>466725</xdr:colOff>
                    <xdr:row>4</xdr:row>
                    <xdr:rowOff>171450</xdr:rowOff>
                  </from>
                  <to>
                    <xdr:col>7</xdr:col>
                    <xdr:colOff>695325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2" name="Check Box 20">
              <controlPr defaultSize="0" autoFill="0" autoLine="0" autoPict="0">
                <anchor moveWithCells="1">
                  <from>
                    <xdr:col>6</xdr:col>
                    <xdr:colOff>466725</xdr:colOff>
                    <xdr:row>6</xdr:row>
                    <xdr:rowOff>114300</xdr:rowOff>
                  </from>
                  <to>
                    <xdr:col>7</xdr:col>
                    <xdr:colOff>704850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3" name="Check Box 21">
              <controlPr defaultSize="0" autoFill="0" autoLine="0" autoPict="0">
                <anchor moveWithCells="1">
                  <from>
                    <xdr:col>6</xdr:col>
                    <xdr:colOff>476250</xdr:colOff>
                    <xdr:row>8</xdr:row>
                    <xdr:rowOff>66675</xdr:rowOff>
                  </from>
                  <to>
                    <xdr:col>8</xdr:col>
                    <xdr:colOff>19050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Check Box 22">
              <controlPr defaultSize="0" autoFill="0" autoLine="0" autoPict="0">
                <anchor moveWithCells="1">
                  <from>
                    <xdr:col>8</xdr:col>
                    <xdr:colOff>304800</xdr:colOff>
                    <xdr:row>5</xdr:row>
                    <xdr:rowOff>66675</xdr:rowOff>
                  </from>
                  <to>
                    <xdr:col>10</xdr:col>
                    <xdr:colOff>257175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Check Box 23">
              <controlPr defaultSize="0" autoFill="0" autoLine="0" autoPict="0">
                <anchor moveWithCells="1">
                  <from>
                    <xdr:col>8</xdr:col>
                    <xdr:colOff>314325</xdr:colOff>
                    <xdr:row>7</xdr:row>
                    <xdr:rowOff>76200</xdr:rowOff>
                  </from>
                  <to>
                    <xdr:col>10</xdr:col>
                    <xdr:colOff>180975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6" name="Group Box 24">
              <controlPr defaultSize="0" autoFill="0" autoPict="0">
                <anchor moveWithCells="1">
                  <from>
                    <xdr:col>0</xdr:col>
                    <xdr:colOff>314325</xdr:colOff>
                    <xdr:row>20</xdr:row>
                    <xdr:rowOff>123825</xdr:rowOff>
                  </from>
                  <to>
                    <xdr:col>10</xdr:col>
                    <xdr:colOff>447675</xdr:colOff>
                    <xdr:row>29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7" name="Option Button 25">
              <controlPr defaultSize="0" autoFill="0" autoLine="0" autoPict="0">
                <anchor moveWithCells="1">
                  <from>
                    <xdr:col>0</xdr:col>
                    <xdr:colOff>590550</xdr:colOff>
                    <xdr:row>21</xdr:row>
                    <xdr:rowOff>171450</xdr:rowOff>
                  </from>
                  <to>
                    <xdr:col>1</xdr:col>
                    <xdr:colOff>561975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8" name="Option Button 26">
              <controlPr defaultSize="0" autoFill="0" autoLine="0" autoPict="0">
                <anchor moveWithCells="1">
                  <from>
                    <xdr:col>3</xdr:col>
                    <xdr:colOff>542925</xdr:colOff>
                    <xdr:row>21</xdr:row>
                    <xdr:rowOff>171450</xdr:rowOff>
                  </from>
                  <to>
                    <xdr:col>4</xdr:col>
                    <xdr:colOff>676275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9" name="Drop Down 29">
              <controlPr defaultSize="0" autoLine="0" autoPict="0">
                <anchor moveWithCells="1">
                  <from>
                    <xdr:col>8</xdr:col>
                    <xdr:colOff>400050</xdr:colOff>
                    <xdr:row>27</xdr:row>
                    <xdr:rowOff>0</xdr:rowOff>
                  </from>
                  <to>
                    <xdr:col>10</xdr:col>
                    <xdr:colOff>200025</xdr:colOff>
                    <xdr:row>27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0153A-1649-4999-95E4-FC6E852382A7}">
  <sheetPr codeName="Planilha2"/>
  <dimension ref="A1:R33"/>
  <sheetViews>
    <sheetView showGridLines="0" topLeftCell="A4" workbookViewId="0">
      <selection activeCell="G22" sqref="G22"/>
    </sheetView>
  </sheetViews>
  <sheetFormatPr defaultRowHeight="15" x14ac:dyDescent="0.25"/>
  <cols>
    <col min="1" max="1" width="14.7109375" customWidth="1"/>
    <col min="2" max="2" width="10.28515625" bestFit="1" customWidth="1"/>
    <col min="4" max="5" width="10.28515625" bestFit="1" customWidth="1"/>
    <col min="6" max="6" width="10.7109375" bestFit="1" customWidth="1"/>
    <col min="7" max="7" width="10.42578125" bestFit="1" customWidth="1"/>
    <col min="14" max="14" width="12.42578125" bestFit="1" customWidth="1"/>
    <col min="16" max="16" width="12.42578125" bestFit="1" customWidth="1"/>
    <col min="17" max="17" width="16" bestFit="1" customWidth="1"/>
  </cols>
  <sheetData>
    <row r="1" spans="1:18" x14ac:dyDescent="0.25">
      <c r="A1" s="43" t="s">
        <v>0</v>
      </c>
      <c r="B1" s="43"/>
      <c r="C1" s="43"/>
      <c r="D1" s="43"/>
      <c r="E1" s="43"/>
      <c r="F1" s="43"/>
      <c r="G1" s="43"/>
      <c r="H1" s="43"/>
      <c r="I1" s="44"/>
    </row>
    <row r="2" spans="1:18" x14ac:dyDescent="0.25">
      <c r="A2" s="45"/>
      <c r="B2" s="45"/>
      <c r="C2" s="45"/>
      <c r="D2" s="45"/>
      <c r="E2" s="45"/>
      <c r="F2" s="45"/>
      <c r="G2" s="45"/>
      <c r="H2" s="45"/>
      <c r="I2" s="46"/>
    </row>
    <row r="3" spans="1:18" x14ac:dyDescent="0.25">
      <c r="A3" s="6"/>
      <c r="B3" s="6"/>
      <c r="C3" s="6"/>
      <c r="D3" s="6"/>
      <c r="E3" s="6"/>
      <c r="F3" s="6"/>
      <c r="G3" s="6"/>
      <c r="H3" s="6"/>
      <c r="I3" s="7"/>
      <c r="N3" s="1" t="s">
        <v>1</v>
      </c>
      <c r="O3" s="1" t="s">
        <v>12</v>
      </c>
      <c r="P3" s="1" t="s">
        <v>13</v>
      </c>
      <c r="Q3" s="1" t="s">
        <v>14</v>
      </c>
    </row>
    <row r="4" spans="1:18" x14ac:dyDescent="0.25">
      <c r="A4" s="6"/>
      <c r="B4" s="6"/>
      <c r="C4" s="6"/>
      <c r="D4" s="6"/>
      <c r="E4" s="6"/>
      <c r="F4" s="6"/>
      <c r="G4" s="6"/>
      <c r="H4" s="6"/>
      <c r="I4" s="8"/>
      <c r="N4" s="2" t="s">
        <v>2</v>
      </c>
      <c r="O4" s="2">
        <v>190</v>
      </c>
      <c r="P4" s="2">
        <v>2</v>
      </c>
      <c r="Q4" s="2" t="s">
        <v>15</v>
      </c>
      <c r="R4" s="18">
        <v>4</v>
      </c>
    </row>
    <row r="5" spans="1:18" x14ac:dyDescent="0.25">
      <c r="A5" s="6"/>
      <c r="B5" s="6"/>
      <c r="C5" s="6"/>
      <c r="D5" s="6"/>
      <c r="E5" s="6"/>
      <c r="F5" s="6"/>
      <c r="G5" s="6"/>
      <c r="H5" s="6"/>
      <c r="I5" s="8"/>
      <c r="N5" s="2" t="s">
        <v>3</v>
      </c>
      <c r="O5" s="2">
        <v>258</v>
      </c>
      <c r="P5" s="2"/>
      <c r="Q5" s="2" t="s">
        <v>16</v>
      </c>
    </row>
    <row r="6" spans="1:18" x14ac:dyDescent="0.25">
      <c r="A6" s="6"/>
      <c r="B6" s="6"/>
      <c r="C6" s="6"/>
      <c r="D6" s="6"/>
      <c r="E6" s="6"/>
      <c r="F6" s="6"/>
      <c r="G6" s="6"/>
      <c r="H6" s="6"/>
      <c r="I6" s="8"/>
      <c r="K6" s="5"/>
      <c r="N6" s="2" t="s">
        <v>4</v>
      </c>
      <c r="O6" s="2">
        <v>389</v>
      </c>
      <c r="P6" s="2"/>
      <c r="Q6" s="2" t="s">
        <v>17</v>
      </c>
    </row>
    <row r="7" spans="1:18" x14ac:dyDescent="0.25">
      <c r="A7" s="6"/>
      <c r="B7" s="6"/>
      <c r="C7" s="6"/>
      <c r="D7" s="6"/>
      <c r="E7" s="6"/>
      <c r="F7" s="6"/>
      <c r="G7" s="6"/>
      <c r="H7" s="6"/>
      <c r="I7" s="8"/>
      <c r="K7" s="5"/>
      <c r="L7" s="13"/>
      <c r="N7" s="1" t="s">
        <v>29</v>
      </c>
      <c r="P7" s="2"/>
      <c r="Q7" s="2" t="s">
        <v>18</v>
      </c>
    </row>
    <row r="8" spans="1:18" x14ac:dyDescent="0.25">
      <c r="A8" s="6"/>
      <c r="B8" s="6"/>
      <c r="C8" s="6"/>
      <c r="D8" s="6"/>
      <c r="E8" s="6"/>
      <c r="F8" s="6"/>
      <c r="G8" s="6"/>
      <c r="H8" s="6"/>
      <c r="I8" s="8"/>
      <c r="N8" s="2" t="s">
        <v>5</v>
      </c>
      <c r="O8" s="2">
        <v>190</v>
      </c>
      <c r="P8" s="2">
        <v>2</v>
      </c>
      <c r="Q8" s="2" t="s">
        <v>19</v>
      </c>
    </row>
    <row r="9" spans="1:18" x14ac:dyDescent="0.25">
      <c r="A9" s="6"/>
      <c r="B9" s="6"/>
      <c r="C9" s="6"/>
      <c r="D9" s="6"/>
      <c r="E9" s="6"/>
      <c r="F9" s="6"/>
      <c r="G9" s="6"/>
      <c r="H9" s="6"/>
      <c r="I9" s="8"/>
      <c r="N9" s="2" t="s">
        <v>6</v>
      </c>
      <c r="O9" s="2">
        <v>150</v>
      </c>
      <c r="P9" s="2"/>
      <c r="Q9" s="2" t="s">
        <v>20</v>
      </c>
    </row>
    <row r="10" spans="1:18" x14ac:dyDescent="0.25">
      <c r="A10" s="6"/>
      <c r="B10" s="6"/>
      <c r="C10" s="6"/>
      <c r="D10" s="6"/>
      <c r="E10" s="6"/>
      <c r="F10" s="6"/>
      <c r="G10" s="6"/>
      <c r="H10" s="6"/>
      <c r="I10" s="8"/>
      <c r="N10" s="1" t="s">
        <v>30</v>
      </c>
      <c r="P10" s="2"/>
      <c r="Q10" s="2"/>
    </row>
    <row r="11" spans="1:18" x14ac:dyDescent="0.25">
      <c r="A11" s="6"/>
      <c r="B11" s="6"/>
      <c r="C11" s="6"/>
      <c r="D11" s="6"/>
      <c r="E11" s="6"/>
      <c r="F11" s="6"/>
      <c r="G11" s="6"/>
      <c r="H11" s="6"/>
      <c r="I11" s="8"/>
      <c r="N11" s="2" t="s">
        <v>7</v>
      </c>
      <c r="O11" s="2">
        <v>75</v>
      </c>
      <c r="P11" s="2" t="b">
        <v>1</v>
      </c>
      <c r="Q11" s="2"/>
    </row>
    <row r="12" spans="1:18" x14ac:dyDescent="0.25">
      <c r="A12" s="6"/>
      <c r="B12" s="6"/>
      <c r="C12" s="6"/>
      <c r="D12" s="6"/>
      <c r="E12" s="6"/>
      <c r="F12" s="6"/>
      <c r="G12" s="6"/>
      <c r="H12" s="6"/>
      <c r="I12" s="8"/>
      <c r="N12" s="2" t="s">
        <v>8</v>
      </c>
      <c r="O12" s="2">
        <v>49</v>
      </c>
      <c r="P12" s="2" t="b">
        <v>0</v>
      </c>
      <c r="Q12" s="2"/>
    </row>
    <row r="13" spans="1:18" x14ac:dyDescent="0.25">
      <c r="A13" s="6"/>
      <c r="B13" s="6"/>
      <c r="C13" s="6"/>
      <c r="D13" s="6"/>
      <c r="E13" s="6"/>
      <c r="F13" s="6"/>
      <c r="G13" s="6"/>
      <c r="H13" s="6"/>
      <c r="I13" s="8"/>
      <c r="N13" s="2" t="s">
        <v>9</v>
      </c>
      <c r="O13" s="2">
        <v>358</v>
      </c>
      <c r="P13" s="2" t="b">
        <v>0</v>
      </c>
      <c r="Q13" s="2"/>
    </row>
    <row r="14" spans="1:18" x14ac:dyDescent="0.25">
      <c r="A14" s="6"/>
      <c r="B14" s="6"/>
      <c r="C14" s="6"/>
      <c r="D14" s="6"/>
      <c r="E14" s="6"/>
      <c r="F14" s="6"/>
      <c r="G14" s="6"/>
      <c r="H14" s="6"/>
      <c r="I14" s="8"/>
      <c r="K14" s="5"/>
      <c r="N14" s="2" t="s">
        <v>10</v>
      </c>
      <c r="O14" s="2">
        <v>275</v>
      </c>
      <c r="P14" t="b">
        <v>0</v>
      </c>
    </row>
    <row r="15" spans="1:18" x14ac:dyDescent="0.25">
      <c r="A15" s="6" t="s">
        <v>1</v>
      </c>
      <c r="B15" s="15">
        <f>IF(P4=1,O4,IF(P4=2,O5,IF(P4=3,O6,0)))</f>
        <v>258</v>
      </c>
      <c r="C15" s="6"/>
      <c r="D15" s="6" t="s">
        <v>29</v>
      </c>
      <c r="E15" s="16">
        <f>IF(P8=1,O8,IF(P8=2,O9,0))</f>
        <v>150</v>
      </c>
      <c r="F15" s="6"/>
      <c r="G15" s="6" t="s">
        <v>30</v>
      </c>
      <c r="H15" s="16">
        <f>SUMIF($P$11:$P$15,"VERDADEIRO",$O$11:$O$15)</f>
        <v>75</v>
      </c>
      <c r="I15" s="8"/>
      <c r="K15" s="5"/>
      <c r="N15" s="2" t="s">
        <v>11</v>
      </c>
      <c r="O15" s="2">
        <v>65</v>
      </c>
      <c r="P15" t="b">
        <v>0</v>
      </c>
    </row>
    <row r="16" spans="1:18" x14ac:dyDescent="0.25">
      <c r="A16" s="6"/>
      <c r="B16" s="6"/>
      <c r="C16" s="6"/>
      <c r="D16" s="6"/>
      <c r="E16" s="6"/>
      <c r="F16" s="6"/>
      <c r="G16" s="6"/>
      <c r="H16" s="6"/>
      <c r="I16" s="8"/>
    </row>
    <row r="17" spans="1:17" x14ac:dyDescent="0.25">
      <c r="A17" s="6"/>
      <c r="B17" s="6"/>
      <c r="C17" s="6"/>
      <c r="D17" s="6"/>
      <c r="E17" s="6"/>
      <c r="F17" s="6"/>
      <c r="G17" s="6"/>
      <c r="H17" s="6"/>
      <c r="I17" s="8"/>
    </row>
    <row r="18" spans="1:17" x14ac:dyDescent="0.25">
      <c r="A18" s="6"/>
      <c r="B18" s="6"/>
      <c r="C18" s="6"/>
      <c r="D18" s="6"/>
      <c r="E18" s="6"/>
      <c r="F18" s="6"/>
      <c r="G18" s="6"/>
      <c r="H18" s="6"/>
      <c r="I18" s="8"/>
    </row>
    <row r="19" spans="1:17" x14ac:dyDescent="0.25">
      <c r="A19" s="6"/>
      <c r="B19" s="6"/>
      <c r="C19" s="6"/>
      <c r="D19" s="6"/>
      <c r="E19" s="6"/>
      <c r="F19" s="6"/>
      <c r="G19" s="6"/>
      <c r="H19" s="6"/>
      <c r="I19" s="8"/>
      <c r="K19" s="5"/>
      <c r="M19" t="s">
        <v>13</v>
      </c>
      <c r="N19" s="12" t="s">
        <v>32</v>
      </c>
      <c r="O19" s="12"/>
    </row>
    <row r="20" spans="1:17" x14ac:dyDescent="0.25">
      <c r="A20" s="6"/>
      <c r="B20" s="16">
        <f>IF(M20=1,B15+E15+H15,0)</f>
        <v>0</v>
      </c>
      <c r="C20" s="6"/>
      <c r="D20" s="6"/>
      <c r="E20" s="16">
        <f>IF(M20=2,B15+E15+H15,0)</f>
        <v>483</v>
      </c>
      <c r="F20" s="6"/>
      <c r="G20" s="6"/>
      <c r="H20" s="6"/>
      <c r="I20" s="8"/>
      <c r="K20" s="13"/>
      <c r="M20">
        <v>2</v>
      </c>
      <c r="N20" s="12" t="s">
        <v>33</v>
      </c>
      <c r="O20" s="12" t="s">
        <v>34</v>
      </c>
    </row>
    <row r="21" spans="1:17" x14ac:dyDescent="0.25">
      <c r="A21" s="6"/>
      <c r="B21" s="6"/>
      <c r="C21" s="6" t="s">
        <v>23</v>
      </c>
      <c r="D21" s="16">
        <f>IF(E20=0,0,E20-B24)</f>
        <v>-17</v>
      </c>
      <c r="E21" s="6"/>
      <c r="F21" s="6" t="s">
        <v>26</v>
      </c>
      <c r="G21" s="11">
        <v>2</v>
      </c>
      <c r="H21" s="6"/>
      <c r="I21" s="8"/>
      <c r="O21" t="s">
        <v>35</v>
      </c>
    </row>
    <row r="22" spans="1:17" x14ac:dyDescent="0.25">
      <c r="A22" s="6"/>
      <c r="B22" s="6"/>
      <c r="C22" s="6" t="s">
        <v>24</v>
      </c>
      <c r="D22" s="11">
        <f>IF(G21&lt;4,1.75%,IF(G21&lt;7,2.75%,IF(G21&lt;=10,3.5%,0)))</f>
        <v>1.7500000000000002E-2</v>
      </c>
      <c r="E22" s="6"/>
      <c r="F22" s="6" t="s">
        <v>27</v>
      </c>
      <c r="G22" s="16">
        <f>D22*B25+B25</f>
        <v>-8.6487499999999997</v>
      </c>
      <c r="H22" s="6"/>
      <c r="I22" s="8"/>
      <c r="O22" t="s">
        <v>24</v>
      </c>
    </row>
    <row r="23" spans="1:17" x14ac:dyDescent="0.25">
      <c r="A23" s="6"/>
      <c r="B23" s="6"/>
      <c r="C23" s="6"/>
      <c r="D23" s="6"/>
      <c r="E23" s="6"/>
      <c r="F23" s="6"/>
      <c r="G23" s="6"/>
      <c r="H23" s="6"/>
      <c r="I23" s="8"/>
      <c r="O23" t="s">
        <v>26</v>
      </c>
    </row>
    <row r="24" spans="1:17" x14ac:dyDescent="0.25">
      <c r="A24" s="14" t="s">
        <v>21</v>
      </c>
      <c r="B24" s="11">
        <v>500</v>
      </c>
      <c r="C24" s="6"/>
      <c r="D24" s="6"/>
      <c r="E24" s="6"/>
      <c r="F24" s="6" t="s">
        <v>39</v>
      </c>
      <c r="G24" s="6" t="s">
        <v>38</v>
      </c>
      <c r="H24" s="6"/>
      <c r="I24" s="8"/>
      <c r="N24" t="s">
        <v>21</v>
      </c>
      <c r="O24" t="s">
        <v>37</v>
      </c>
    </row>
    <row r="25" spans="1:17" x14ac:dyDescent="0.25">
      <c r="A25" s="14" t="s">
        <v>22</v>
      </c>
      <c r="B25" s="16">
        <f>D21/G21</f>
        <v>-8.5</v>
      </c>
      <c r="C25" s="6"/>
      <c r="D25" s="6"/>
      <c r="E25" s="6"/>
      <c r="F25" s="16">
        <f>IF(M20=2,G22*G21+B24,B20)</f>
        <v>482.70249999999999</v>
      </c>
      <c r="G25" s="6"/>
      <c r="H25" s="6"/>
      <c r="I25" s="8"/>
      <c r="N25" t="s">
        <v>22</v>
      </c>
    </row>
    <row r="26" spans="1:17" x14ac:dyDescent="0.25">
      <c r="A26" s="6"/>
      <c r="B26" s="6"/>
      <c r="C26" s="6"/>
      <c r="D26" s="6"/>
      <c r="E26" s="6"/>
      <c r="F26" s="6"/>
      <c r="G26" s="6"/>
      <c r="H26" s="6"/>
      <c r="I26" s="8"/>
    </row>
    <row r="27" spans="1:17" x14ac:dyDescent="0.25">
      <c r="A27" s="9"/>
      <c r="B27" s="9"/>
      <c r="C27" s="9"/>
      <c r="D27" s="9"/>
      <c r="E27" s="9"/>
      <c r="F27" s="9"/>
      <c r="G27" s="9"/>
      <c r="H27" s="9"/>
      <c r="I27" s="10"/>
      <c r="O27" t="s">
        <v>36</v>
      </c>
      <c r="Q27" t="s">
        <v>38</v>
      </c>
    </row>
    <row r="30" spans="1:17" x14ac:dyDescent="0.25">
      <c r="O30" t="s">
        <v>43</v>
      </c>
      <c r="P30" t="s">
        <v>24</v>
      </c>
    </row>
    <row r="31" spans="1:17" x14ac:dyDescent="0.25">
      <c r="O31" t="s">
        <v>40</v>
      </c>
      <c r="P31" s="17">
        <v>1.7500000000000002E-2</v>
      </c>
    </row>
    <row r="32" spans="1:17" x14ac:dyDescent="0.25">
      <c r="O32" t="s">
        <v>41</v>
      </c>
      <c r="P32" s="17">
        <v>2.75E-2</v>
      </c>
    </row>
    <row r="33" spans="15:16" x14ac:dyDescent="0.25">
      <c r="O33" t="s">
        <v>42</v>
      </c>
      <c r="P33" s="17">
        <v>3.5000000000000003E-2</v>
      </c>
    </row>
  </sheetData>
  <mergeCells count="1">
    <mergeCell ref="A1:I2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Group Box 1">
              <controlPr defaultSize="0" autoFill="0" autoPict="0">
                <anchor moveWithCells="1">
                  <from>
                    <xdr:col>0</xdr:col>
                    <xdr:colOff>304800</xdr:colOff>
                    <xdr:row>3</xdr:row>
                    <xdr:rowOff>123825</xdr:rowOff>
                  </from>
                  <to>
                    <xdr:col>1</xdr:col>
                    <xdr:colOff>533400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Option Button 2">
              <controlPr defaultSize="0" autoFill="0" autoLine="0" autoPict="0">
                <anchor moveWithCells="1">
                  <from>
                    <xdr:col>0</xdr:col>
                    <xdr:colOff>447675</xdr:colOff>
                    <xdr:row>4</xdr:row>
                    <xdr:rowOff>95250</xdr:rowOff>
                  </from>
                  <to>
                    <xdr:col>1</xdr:col>
                    <xdr:colOff>247650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Option Button 3">
              <controlPr defaultSize="0" autoFill="0" autoLine="0" autoPict="0">
                <anchor moveWithCells="1">
                  <from>
                    <xdr:col>0</xdr:col>
                    <xdr:colOff>447675</xdr:colOff>
                    <xdr:row>5</xdr:row>
                    <xdr:rowOff>180975</xdr:rowOff>
                  </from>
                  <to>
                    <xdr:col>1</xdr:col>
                    <xdr:colOff>485775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Option Button 4">
              <controlPr defaultSize="0" autoFill="0" autoLine="0" autoPict="0">
                <anchor moveWithCells="1">
                  <from>
                    <xdr:col>0</xdr:col>
                    <xdr:colOff>447675</xdr:colOff>
                    <xdr:row>7</xdr:row>
                    <xdr:rowOff>47625</xdr:rowOff>
                  </from>
                  <to>
                    <xdr:col>1</xdr:col>
                    <xdr:colOff>247650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Group Box 5">
              <controlPr defaultSize="0" autoFill="0" autoPict="0">
                <anchor moveWithCells="1">
                  <from>
                    <xdr:col>3</xdr:col>
                    <xdr:colOff>123825</xdr:colOff>
                    <xdr:row>3</xdr:row>
                    <xdr:rowOff>114300</xdr:rowOff>
                  </from>
                  <to>
                    <xdr:col>4</xdr:col>
                    <xdr:colOff>581025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Option Button 6">
              <controlPr defaultSize="0" autoFill="0" autoLine="0" autoPict="0">
                <anchor moveWithCells="1">
                  <from>
                    <xdr:col>3</xdr:col>
                    <xdr:colOff>333375</xdr:colOff>
                    <xdr:row>4</xdr:row>
                    <xdr:rowOff>133350</xdr:rowOff>
                  </from>
                  <to>
                    <xdr:col>4</xdr:col>
                    <xdr:colOff>342900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Option Button 7">
              <controlPr defaultSize="0" autoFill="0" autoLine="0" autoPict="0">
                <anchor moveWithCells="1">
                  <from>
                    <xdr:col>3</xdr:col>
                    <xdr:colOff>333375</xdr:colOff>
                    <xdr:row>6</xdr:row>
                    <xdr:rowOff>85725</xdr:rowOff>
                  </from>
                  <to>
                    <xdr:col>4</xdr:col>
                    <xdr:colOff>161925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Group Box 8">
              <controlPr defaultSize="0" autoFill="0" autoPict="0">
                <anchor moveWithCells="1">
                  <from>
                    <xdr:col>5</xdr:col>
                    <xdr:colOff>457200</xdr:colOff>
                    <xdr:row>3</xdr:row>
                    <xdr:rowOff>9525</xdr:rowOff>
                  </from>
                  <to>
                    <xdr:col>8</xdr:col>
                    <xdr:colOff>66675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Check Box 9">
              <controlPr defaultSize="0" autoFill="0" autoLine="0" autoPict="0">
                <anchor moveWithCells="1">
                  <from>
                    <xdr:col>6</xdr:col>
                    <xdr:colOff>114300</xdr:colOff>
                    <xdr:row>4</xdr:row>
                    <xdr:rowOff>38100</xdr:rowOff>
                  </from>
                  <to>
                    <xdr:col>7</xdr:col>
                    <xdr:colOff>180975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Check Box 11">
              <controlPr defaultSize="0" autoFill="0" autoLine="0" autoPict="0">
                <anchor moveWithCells="1">
                  <from>
                    <xdr:col>6</xdr:col>
                    <xdr:colOff>114300</xdr:colOff>
                    <xdr:row>5</xdr:row>
                    <xdr:rowOff>161925</xdr:rowOff>
                  </from>
                  <to>
                    <xdr:col>7</xdr:col>
                    <xdr:colOff>9525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4" name="Check Box 12">
              <controlPr defaultSize="0" autoFill="0" autoLine="0" autoPict="0">
                <anchor moveWithCells="1">
                  <from>
                    <xdr:col>6</xdr:col>
                    <xdr:colOff>114300</xdr:colOff>
                    <xdr:row>7</xdr:row>
                    <xdr:rowOff>28575</xdr:rowOff>
                  </from>
                  <to>
                    <xdr:col>7</xdr:col>
                    <xdr:colOff>304800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5" name="Check Box 13">
              <controlPr defaultSize="0" autoFill="0" autoLine="0" autoPict="0">
                <anchor moveWithCells="1">
                  <from>
                    <xdr:col>6</xdr:col>
                    <xdr:colOff>114300</xdr:colOff>
                    <xdr:row>8</xdr:row>
                    <xdr:rowOff>95250</xdr:rowOff>
                  </from>
                  <to>
                    <xdr:col>7</xdr:col>
                    <xdr:colOff>304800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6" name="Check Box 14">
              <controlPr defaultSize="0" autoFill="0" autoLine="0" autoPict="0">
                <anchor moveWithCells="1">
                  <from>
                    <xdr:col>6</xdr:col>
                    <xdr:colOff>123825</xdr:colOff>
                    <xdr:row>9</xdr:row>
                    <xdr:rowOff>142875</xdr:rowOff>
                  </from>
                  <to>
                    <xdr:col>7</xdr:col>
                    <xdr:colOff>190500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7" name="Group Box 16">
              <controlPr defaultSize="0" autoFill="0" autoPict="0">
                <anchor moveWithCells="1">
                  <from>
                    <xdr:col>0</xdr:col>
                    <xdr:colOff>133350</xdr:colOff>
                    <xdr:row>17</xdr:row>
                    <xdr:rowOff>76200</xdr:rowOff>
                  </from>
                  <to>
                    <xdr:col>7</xdr:col>
                    <xdr:colOff>381000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8" name="Option Button 17">
              <controlPr defaultSize="0" autoFill="0" autoLine="0" autoPict="0">
                <anchor moveWithCells="1">
                  <from>
                    <xdr:col>0</xdr:col>
                    <xdr:colOff>171450</xdr:colOff>
                    <xdr:row>18</xdr:row>
                    <xdr:rowOff>180975</xdr:rowOff>
                  </from>
                  <to>
                    <xdr:col>0</xdr:col>
                    <xdr:colOff>904875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9" name="Option Button 18">
              <controlPr defaultSize="0" autoFill="0" autoLine="0" autoPict="0">
                <anchor moveWithCells="1">
                  <from>
                    <xdr:col>2</xdr:col>
                    <xdr:colOff>295275</xdr:colOff>
                    <xdr:row>18</xdr:row>
                    <xdr:rowOff>171450</xdr:rowOff>
                  </from>
                  <to>
                    <xdr:col>3</xdr:col>
                    <xdr:colOff>466725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0" name="Drop Down 19">
              <controlPr defaultSize="0" autoLine="0" autoPict="0">
                <anchor moveWithCells="1">
                  <from>
                    <xdr:col>6</xdr:col>
                    <xdr:colOff>57150</xdr:colOff>
                    <xdr:row>24</xdr:row>
                    <xdr:rowOff>38100</xdr:rowOff>
                  </from>
                  <to>
                    <xdr:col>7</xdr:col>
                    <xdr:colOff>238125</xdr:colOff>
                    <xdr:row>25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D876C-78DA-4CFB-9511-E5541F94042B}">
  <dimension ref="A1:Q29"/>
  <sheetViews>
    <sheetView showGridLines="0" topLeftCell="A13" zoomScale="140" zoomScaleNormal="140" workbookViewId="0">
      <selection activeCell="I22" sqref="I22"/>
    </sheetView>
  </sheetViews>
  <sheetFormatPr defaultRowHeight="15" x14ac:dyDescent="0.25"/>
  <cols>
    <col min="3" max="3" width="11.140625" customWidth="1"/>
    <col min="5" max="5" width="11.85546875" customWidth="1"/>
    <col min="12" max="12" width="20.85546875" bestFit="1" customWidth="1"/>
    <col min="14" max="14" width="12.7109375" customWidth="1"/>
    <col min="15" max="15" width="12.42578125" bestFit="1" customWidth="1"/>
    <col min="16" max="16" width="16" bestFit="1" customWidth="1"/>
    <col min="19" max="19" width="16" bestFit="1" customWidth="1"/>
  </cols>
  <sheetData>
    <row r="1" spans="1:17" x14ac:dyDescent="0.25">
      <c r="A1" s="47" t="s">
        <v>0</v>
      </c>
      <c r="B1" s="47"/>
      <c r="C1" s="47"/>
      <c r="D1" s="47"/>
      <c r="E1" s="47"/>
      <c r="F1" s="47"/>
      <c r="G1" s="47"/>
      <c r="H1" s="47"/>
      <c r="I1" s="27"/>
      <c r="J1" s="27"/>
      <c r="K1" s="27"/>
      <c r="L1" s="27"/>
      <c r="M1" s="27"/>
      <c r="N1" s="27"/>
      <c r="O1" s="27"/>
      <c r="P1" s="27"/>
      <c r="Q1" s="27"/>
    </row>
    <row r="2" spans="1:17" x14ac:dyDescent="0.25">
      <c r="A2" s="47"/>
      <c r="B2" s="47"/>
      <c r="C2" s="47"/>
      <c r="D2" s="47"/>
      <c r="E2" s="47"/>
      <c r="F2" s="47"/>
      <c r="G2" s="47"/>
      <c r="H2" s="47"/>
      <c r="I2" s="27"/>
      <c r="J2" s="27"/>
      <c r="K2" s="27"/>
      <c r="L2" s="27"/>
      <c r="M2" s="27"/>
      <c r="N2" s="27"/>
      <c r="O2" s="27"/>
      <c r="P2" s="27"/>
      <c r="Q2" s="27"/>
    </row>
    <row r="3" spans="1:17" x14ac:dyDescent="0.25">
      <c r="A3" s="24"/>
      <c r="B3" s="19"/>
      <c r="C3" s="19"/>
      <c r="D3" s="19"/>
      <c r="E3" s="19"/>
      <c r="F3" s="19"/>
      <c r="G3" s="19"/>
      <c r="H3" s="20"/>
      <c r="I3" s="27"/>
      <c r="J3" s="27"/>
      <c r="K3" s="27"/>
      <c r="L3" s="28" t="s">
        <v>1</v>
      </c>
      <c r="M3" s="28" t="s">
        <v>12</v>
      </c>
      <c r="N3" s="29" t="s">
        <v>13</v>
      </c>
      <c r="O3" s="27"/>
      <c r="P3" s="28" t="s">
        <v>14</v>
      </c>
      <c r="Q3" s="28" t="s">
        <v>13</v>
      </c>
    </row>
    <row r="4" spans="1:17" x14ac:dyDescent="0.25">
      <c r="A4" s="25"/>
      <c r="B4" s="19"/>
      <c r="C4" s="19"/>
      <c r="D4" s="19"/>
      <c r="E4" s="19"/>
      <c r="F4" s="19"/>
      <c r="G4" s="19"/>
      <c r="H4" s="21"/>
      <c r="I4" s="27"/>
      <c r="J4" s="27"/>
      <c r="K4" s="27"/>
      <c r="L4" s="30" t="s">
        <v>2</v>
      </c>
      <c r="M4" s="30">
        <v>190</v>
      </c>
      <c r="N4" s="27">
        <v>3</v>
      </c>
      <c r="O4" s="27"/>
      <c r="P4" s="30" t="s">
        <v>15</v>
      </c>
      <c r="Q4" s="27">
        <v>3</v>
      </c>
    </row>
    <row r="5" spans="1:17" x14ac:dyDescent="0.25">
      <c r="A5" s="25"/>
      <c r="B5" s="19"/>
      <c r="C5" s="19"/>
      <c r="D5" s="19"/>
      <c r="E5" s="19"/>
      <c r="F5" s="19"/>
      <c r="G5" s="19"/>
      <c r="H5" s="21"/>
      <c r="I5" s="27"/>
      <c r="J5" s="27"/>
      <c r="K5" s="27"/>
      <c r="L5" s="30" t="s">
        <v>3</v>
      </c>
      <c r="M5" s="30">
        <v>258</v>
      </c>
      <c r="N5" s="27"/>
      <c r="O5" s="27"/>
      <c r="P5" s="30" t="s">
        <v>16</v>
      </c>
      <c r="Q5" s="27"/>
    </row>
    <row r="6" spans="1:17" x14ac:dyDescent="0.25">
      <c r="A6" s="25"/>
      <c r="B6" s="19"/>
      <c r="C6" s="19"/>
      <c r="D6" s="19"/>
      <c r="E6" s="19"/>
      <c r="F6" s="19"/>
      <c r="G6" s="19"/>
      <c r="H6" s="21"/>
      <c r="I6" s="27"/>
      <c r="J6" s="27"/>
      <c r="K6" s="27"/>
      <c r="L6" s="30" t="s">
        <v>4</v>
      </c>
      <c r="M6" s="30">
        <v>389</v>
      </c>
      <c r="N6" s="27"/>
      <c r="O6" s="27"/>
      <c r="P6" s="30" t="s">
        <v>17</v>
      </c>
      <c r="Q6" s="27"/>
    </row>
    <row r="7" spans="1:17" x14ac:dyDescent="0.25">
      <c r="A7" s="25"/>
      <c r="B7" s="19"/>
      <c r="C7" s="19"/>
      <c r="D7" s="19"/>
      <c r="E7" s="19"/>
      <c r="F7" s="19"/>
      <c r="G7" s="19"/>
      <c r="H7" s="21"/>
      <c r="I7" s="27"/>
      <c r="J7" s="27"/>
      <c r="K7" s="27"/>
      <c r="L7" s="28" t="s">
        <v>29</v>
      </c>
      <c r="M7" s="27"/>
      <c r="N7" s="27"/>
      <c r="O7" s="27"/>
      <c r="P7" s="30" t="s">
        <v>18</v>
      </c>
      <c r="Q7" s="27"/>
    </row>
    <row r="8" spans="1:17" x14ac:dyDescent="0.25">
      <c r="A8" s="25"/>
      <c r="B8" s="19"/>
      <c r="C8" s="19"/>
      <c r="D8" s="19"/>
      <c r="E8" s="19"/>
      <c r="F8" s="19"/>
      <c r="G8" s="19"/>
      <c r="H8" s="21"/>
      <c r="I8" s="27"/>
      <c r="J8" s="27"/>
      <c r="K8" s="27"/>
      <c r="L8" s="30" t="s">
        <v>5</v>
      </c>
      <c r="M8" s="30">
        <v>190</v>
      </c>
      <c r="N8" s="27">
        <v>2</v>
      </c>
      <c r="O8" s="27"/>
      <c r="P8" s="30" t="s">
        <v>19</v>
      </c>
      <c r="Q8" s="27"/>
    </row>
    <row r="9" spans="1:17" x14ac:dyDescent="0.25">
      <c r="A9" s="25"/>
      <c r="B9" s="19"/>
      <c r="C9" s="19"/>
      <c r="D9" s="19"/>
      <c r="E9" s="19"/>
      <c r="F9" s="19"/>
      <c r="G9" s="19"/>
      <c r="H9" s="21"/>
      <c r="I9" s="27"/>
      <c r="J9" s="27"/>
      <c r="K9" s="27"/>
      <c r="L9" s="30" t="s">
        <v>6</v>
      </c>
      <c r="M9" s="30">
        <v>150</v>
      </c>
      <c r="N9" s="27"/>
      <c r="O9" s="27"/>
      <c r="P9" s="30" t="s">
        <v>20</v>
      </c>
      <c r="Q9" s="27"/>
    </row>
    <row r="10" spans="1:17" x14ac:dyDescent="0.25">
      <c r="A10" s="25"/>
      <c r="B10" s="19"/>
      <c r="C10" s="19"/>
      <c r="D10" s="19"/>
      <c r="E10" s="19"/>
      <c r="F10" s="19"/>
      <c r="G10" s="19"/>
      <c r="H10" s="21"/>
      <c r="I10" s="27"/>
      <c r="J10" s="27"/>
      <c r="K10" s="27"/>
      <c r="L10" s="28" t="s">
        <v>30</v>
      </c>
      <c r="M10" s="27"/>
      <c r="N10" s="27"/>
      <c r="O10" s="27"/>
      <c r="P10" s="27"/>
      <c r="Q10" s="27"/>
    </row>
    <row r="11" spans="1:17" x14ac:dyDescent="0.25">
      <c r="A11" s="25"/>
      <c r="B11" s="19"/>
      <c r="C11" s="19"/>
      <c r="D11" s="19"/>
      <c r="E11" s="19"/>
      <c r="F11" s="19"/>
      <c r="G11" s="19"/>
      <c r="H11" s="21"/>
      <c r="I11" s="27"/>
      <c r="J11" s="27"/>
      <c r="K11" s="27"/>
      <c r="L11" s="30" t="s">
        <v>7</v>
      </c>
      <c r="M11" s="30">
        <v>75</v>
      </c>
      <c r="N11" s="27" t="b">
        <v>1</v>
      </c>
      <c r="O11" s="27"/>
      <c r="P11" s="27"/>
      <c r="Q11" s="27"/>
    </row>
    <row r="12" spans="1:17" x14ac:dyDescent="0.25">
      <c r="A12" s="33" t="s">
        <v>1</v>
      </c>
      <c r="B12" s="16">
        <f>IF(N4=1,M4,IF(N4=2,M5,M6))</f>
        <v>389</v>
      </c>
      <c r="C12" s="34" t="s">
        <v>29</v>
      </c>
      <c r="D12" s="16">
        <f>IF(N8=1,M8,M9)</f>
        <v>150</v>
      </c>
      <c r="E12" s="34" t="s">
        <v>30</v>
      </c>
      <c r="F12" s="16">
        <f>SUMIF(N11:N15,"VERDADEIRO",M11:M15)</f>
        <v>822</v>
      </c>
      <c r="G12" s="19"/>
      <c r="H12" s="21"/>
      <c r="I12" s="27"/>
      <c r="J12" s="27"/>
      <c r="K12" s="27"/>
      <c r="L12" s="30" t="s">
        <v>8</v>
      </c>
      <c r="M12" s="30">
        <v>49</v>
      </c>
      <c r="N12" s="27" t="b">
        <v>1</v>
      </c>
      <c r="O12" s="27"/>
      <c r="P12" s="27"/>
      <c r="Q12" s="27"/>
    </row>
    <row r="13" spans="1:17" x14ac:dyDescent="0.25">
      <c r="A13" s="25"/>
      <c r="B13" s="19"/>
      <c r="C13" s="19"/>
      <c r="D13" s="19"/>
      <c r="E13" s="19"/>
      <c r="F13" s="19"/>
      <c r="G13" s="19"/>
      <c r="H13" s="21"/>
      <c r="I13" s="27"/>
      <c r="J13" s="27"/>
      <c r="K13" s="27"/>
      <c r="L13" s="30" t="s">
        <v>9</v>
      </c>
      <c r="M13" s="30">
        <v>358</v>
      </c>
      <c r="N13" s="27" t="b">
        <v>1</v>
      </c>
      <c r="O13" s="27"/>
      <c r="P13" s="27"/>
      <c r="Q13" s="27"/>
    </row>
    <row r="14" spans="1:17" x14ac:dyDescent="0.25">
      <c r="A14" s="25"/>
      <c r="B14" s="19"/>
      <c r="C14" s="19"/>
      <c r="D14" s="19"/>
      <c r="E14" s="19"/>
      <c r="F14" s="19"/>
      <c r="G14" s="19"/>
      <c r="H14" s="21"/>
      <c r="I14" s="27"/>
      <c r="J14" s="27"/>
      <c r="K14" s="27"/>
      <c r="L14" s="30" t="s">
        <v>10</v>
      </c>
      <c r="M14" s="30">
        <v>275</v>
      </c>
      <c r="N14" s="27" t="b">
        <v>1</v>
      </c>
      <c r="O14" s="27"/>
      <c r="P14" s="27"/>
      <c r="Q14" s="27"/>
    </row>
    <row r="15" spans="1:17" x14ac:dyDescent="0.25">
      <c r="A15" s="25"/>
      <c r="B15" s="19"/>
      <c r="C15" s="19"/>
      <c r="D15" s="19"/>
      <c r="E15" s="19"/>
      <c r="F15" s="19"/>
      <c r="G15" s="19"/>
      <c r="H15" s="21"/>
      <c r="I15" s="27"/>
      <c r="J15" s="27"/>
      <c r="K15" s="27"/>
      <c r="L15" s="30" t="s">
        <v>11</v>
      </c>
      <c r="M15" s="30">
        <v>65</v>
      </c>
      <c r="N15" s="27" t="b">
        <v>1</v>
      </c>
      <c r="O15" s="27"/>
      <c r="P15" s="27"/>
      <c r="Q15" s="27"/>
    </row>
    <row r="16" spans="1:17" x14ac:dyDescent="0.25">
      <c r="A16" s="25"/>
      <c r="B16" s="19"/>
      <c r="C16" s="19"/>
      <c r="D16" s="19"/>
      <c r="E16" s="19"/>
      <c r="F16" s="19"/>
      <c r="G16" s="19"/>
      <c r="H16" s="21"/>
      <c r="I16" s="27"/>
      <c r="J16" s="27"/>
      <c r="K16" s="27"/>
      <c r="L16" s="27"/>
      <c r="M16" s="27"/>
      <c r="N16" s="27"/>
      <c r="O16" s="27"/>
      <c r="P16" s="27"/>
      <c r="Q16" s="27"/>
    </row>
    <row r="17" spans="1:17" x14ac:dyDescent="0.25">
      <c r="A17" s="25"/>
      <c r="B17" s="19"/>
      <c r="C17" s="19"/>
      <c r="D17" s="19"/>
      <c r="E17" s="19"/>
      <c r="F17" s="19"/>
      <c r="G17" s="19"/>
      <c r="H17" s="21"/>
      <c r="I17" s="27"/>
      <c r="J17" s="27"/>
      <c r="K17" s="27"/>
      <c r="L17" s="27"/>
      <c r="M17" s="27"/>
      <c r="N17" s="27"/>
      <c r="O17" s="27"/>
      <c r="P17" s="27"/>
      <c r="Q17" s="27"/>
    </row>
    <row r="18" spans="1:17" x14ac:dyDescent="0.25">
      <c r="A18" s="25"/>
      <c r="B18" s="19"/>
      <c r="C18" s="16">
        <f>IF(K20=1,B12+D12+F12,0)</f>
        <v>1361</v>
      </c>
      <c r="D18" s="19"/>
      <c r="E18" s="16">
        <f>IF(K20=2,B12+D12+F12,0)</f>
        <v>0</v>
      </c>
      <c r="F18" s="19"/>
      <c r="G18" s="19"/>
      <c r="H18" s="21"/>
      <c r="I18" s="27"/>
      <c r="J18" s="27"/>
      <c r="K18" s="27"/>
      <c r="L18" s="27"/>
      <c r="M18" s="27"/>
      <c r="N18" s="27"/>
      <c r="O18" s="27"/>
      <c r="P18" s="27"/>
      <c r="Q18" s="27"/>
    </row>
    <row r="19" spans="1:17" ht="33.75" x14ac:dyDescent="0.25">
      <c r="A19" s="25"/>
      <c r="B19" s="19"/>
      <c r="C19" s="19"/>
      <c r="D19" s="19"/>
      <c r="E19" s="19"/>
      <c r="F19" s="19"/>
      <c r="G19" s="39" t="s">
        <v>65</v>
      </c>
      <c r="H19" s="21"/>
      <c r="I19" s="27"/>
      <c r="J19" s="27"/>
      <c r="K19" s="27" t="s">
        <v>13</v>
      </c>
      <c r="L19" s="48" t="s">
        <v>32</v>
      </c>
      <c r="M19" s="48"/>
      <c r="N19" s="27"/>
      <c r="O19" s="27"/>
      <c r="P19" s="28" t="s">
        <v>43</v>
      </c>
      <c r="Q19" s="28" t="s">
        <v>24</v>
      </c>
    </row>
    <row r="20" spans="1:17" x14ac:dyDescent="0.25">
      <c r="A20" s="25"/>
      <c r="B20" s="19"/>
      <c r="C20" s="19"/>
      <c r="D20" s="36" t="s">
        <v>23</v>
      </c>
      <c r="E20" s="16">
        <f>IF(E18=0,0,E18-B23)</f>
        <v>0</v>
      </c>
      <c r="F20" s="19"/>
      <c r="G20" s="16">
        <f>(E21*B25)+B25</f>
        <v>0</v>
      </c>
      <c r="H20" s="21"/>
      <c r="I20" s="27"/>
      <c r="J20" s="27"/>
      <c r="K20" s="27">
        <v>1</v>
      </c>
      <c r="L20" s="29" t="s">
        <v>33</v>
      </c>
      <c r="M20" s="29" t="s">
        <v>34</v>
      </c>
      <c r="N20" s="27"/>
      <c r="O20" s="27"/>
      <c r="P20" s="30" t="s">
        <v>40</v>
      </c>
      <c r="Q20" s="32">
        <v>1.7500000000000002E-2</v>
      </c>
    </row>
    <row r="21" spans="1:17" x14ac:dyDescent="0.25">
      <c r="A21" s="25"/>
      <c r="B21" s="19"/>
      <c r="C21" s="19"/>
      <c r="D21" s="36" t="s">
        <v>24</v>
      </c>
      <c r="E21" s="40">
        <f>IF(E22&lt;4,1.75%,IF(E22&lt;7,2.75%,IF(E22&lt;=10,3.5%,0)))</f>
        <v>3.5000000000000003E-2</v>
      </c>
      <c r="F21" s="19"/>
      <c r="G21" s="38"/>
      <c r="H21" s="21"/>
      <c r="I21" s="27"/>
      <c r="J21" s="27"/>
      <c r="K21" s="27"/>
      <c r="L21" s="27"/>
      <c r="M21" s="27" t="s">
        <v>35</v>
      </c>
      <c r="N21" s="27"/>
      <c r="O21" s="27"/>
      <c r="P21" s="30" t="s">
        <v>41</v>
      </c>
      <c r="Q21" s="32">
        <v>2.75E-2</v>
      </c>
    </row>
    <row r="22" spans="1:17" x14ac:dyDescent="0.25">
      <c r="A22" s="25"/>
      <c r="B22" s="19"/>
      <c r="C22" s="19"/>
      <c r="D22" s="37" t="s">
        <v>63</v>
      </c>
      <c r="E22" s="11">
        <v>8</v>
      </c>
      <c r="F22" s="19"/>
      <c r="G22" s="38"/>
      <c r="H22" s="21"/>
      <c r="I22" s="27"/>
      <c r="J22" s="27"/>
      <c r="K22" s="27"/>
      <c r="L22" s="27"/>
      <c r="M22" s="27" t="s">
        <v>24</v>
      </c>
      <c r="N22" s="27"/>
      <c r="O22" s="27"/>
      <c r="P22" s="30" t="s">
        <v>42</v>
      </c>
      <c r="Q22" s="32">
        <v>3.5000000000000003E-2</v>
      </c>
    </row>
    <row r="23" spans="1:17" x14ac:dyDescent="0.25">
      <c r="A23" s="35" t="s">
        <v>21</v>
      </c>
      <c r="B23" s="16">
        <v>100</v>
      </c>
      <c r="C23" s="19"/>
      <c r="D23" s="19"/>
      <c r="E23" s="19"/>
      <c r="F23" s="19"/>
      <c r="G23" s="19"/>
      <c r="H23" s="21"/>
      <c r="I23" s="27"/>
      <c r="J23" s="27"/>
      <c r="K23" s="27"/>
      <c r="L23" s="27"/>
      <c r="M23" s="27" t="s">
        <v>26</v>
      </c>
      <c r="N23" s="27"/>
      <c r="O23" s="27"/>
      <c r="P23" s="27"/>
      <c r="Q23" s="27"/>
    </row>
    <row r="24" spans="1:17" x14ac:dyDescent="0.25">
      <c r="A24" s="25"/>
      <c r="B24" s="19"/>
      <c r="C24" s="19"/>
      <c r="D24" s="19"/>
      <c r="E24" s="19"/>
      <c r="F24" s="19"/>
      <c r="G24" s="19"/>
      <c r="H24" s="21"/>
      <c r="I24" s="27"/>
      <c r="J24" s="27"/>
      <c r="K24" s="27"/>
      <c r="L24" s="27" t="s">
        <v>21</v>
      </c>
      <c r="M24" s="27" t="s">
        <v>37</v>
      </c>
      <c r="N24" s="27"/>
      <c r="O24" s="27"/>
      <c r="P24" s="27"/>
      <c r="Q24" s="27"/>
    </row>
    <row r="25" spans="1:17" x14ac:dyDescent="0.25">
      <c r="A25" s="35" t="s">
        <v>22</v>
      </c>
      <c r="B25" s="16">
        <f>E20/E22</f>
        <v>0</v>
      </c>
      <c r="C25" s="19"/>
      <c r="D25" s="19"/>
      <c r="E25" s="34" t="s">
        <v>64</v>
      </c>
      <c r="F25" s="19"/>
      <c r="G25" s="34" t="s">
        <v>38</v>
      </c>
      <c r="H25" s="21"/>
      <c r="I25" s="27"/>
      <c r="J25" s="27"/>
      <c r="K25" s="27"/>
      <c r="L25" s="27" t="s">
        <v>22</v>
      </c>
      <c r="M25" s="27"/>
      <c r="N25" s="27"/>
      <c r="O25" s="27"/>
      <c r="P25" s="27"/>
      <c r="Q25" s="27"/>
    </row>
    <row r="26" spans="1:17" x14ac:dyDescent="0.25">
      <c r="A26" s="25"/>
      <c r="B26" s="19"/>
      <c r="C26" s="19"/>
      <c r="D26" s="19"/>
      <c r="E26" s="16">
        <f>IF(K20=1,C18,Formulário_Aula!G20*Formulário_Aula!E22+Formulário_Aula!B23)</f>
        <v>1361</v>
      </c>
      <c r="F26" s="19"/>
      <c r="G26" s="19"/>
      <c r="H26" s="21"/>
      <c r="I26" s="27"/>
      <c r="J26" s="27"/>
      <c r="K26" s="27"/>
      <c r="L26" s="27"/>
      <c r="M26" s="27"/>
      <c r="N26" s="27"/>
      <c r="O26" s="27"/>
      <c r="P26" s="27"/>
      <c r="Q26" s="27"/>
    </row>
    <row r="27" spans="1:17" x14ac:dyDescent="0.25">
      <c r="A27" s="25"/>
      <c r="B27" s="19"/>
      <c r="C27" s="19"/>
      <c r="D27" s="19"/>
      <c r="E27" s="19"/>
      <c r="F27" s="19"/>
      <c r="G27" s="19"/>
      <c r="H27" s="21"/>
      <c r="I27" s="27"/>
      <c r="J27" s="27"/>
      <c r="K27" s="27"/>
      <c r="L27" s="27"/>
      <c r="M27" s="27" t="s">
        <v>36</v>
      </c>
      <c r="N27" s="27"/>
      <c r="O27" s="27" t="s">
        <v>38</v>
      </c>
      <c r="P27" s="27"/>
      <c r="Q27" s="27"/>
    </row>
    <row r="28" spans="1:17" x14ac:dyDescent="0.25">
      <c r="A28" s="25"/>
      <c r="B28" s="19"/>
      <c r="C28" s="19"/>
      <c r="D28" s="19"/>
      <c r="E28" s="19"/>
      <c r="F28" s="19"/>
      <c r="G28" s="19"/>
      <c r="H28" s="21"/>
      <c r="I28" s="27"/>
      <c r="J28" s="27"/>
      <c r="K28" s="27"/>
      <c r="L28" s="27"/>
      <c r="M28" s="27"/>
      <c r="N28" s="27"/>
      <c r="O28" s="27"/>
      <c r="P28" s="27"/>
      <c r="Q28" s="27"/>
    </row>
    <row r="29" spans="1:17" x14ac:dyDescent="0.25">
      <c r="A29" s="26"/>
      <c r="B29" s="22"/>
      <c r="C29" s="22"/>
      <c r="D29" s="22"/>
      <c r="E29" s="22"/>
      <c r="F29" s="22"/>
      <c r="G29" s="22"/>
      <c r="H29" s="23"/>
      <c r="I29" s="27"/>
      <c r="J29" s="27"/>
      <c r="K29" s="27"/>
      <c r="L29" s="27"/>
      <c r="M29" s="27"/>
      <c r="N29" s="27"/>
      <c r="O29" s="27"/>
      <c r="P29" s="27"/>
      <c r="Q29" s="27"/>
    </row>
  </sheetData>
  <mergeCells count="2">
    <mergeCell ref="A1:H2"/>
    <mergeCell ref="L19:M19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Group Box 1">
              <controlPr defaultSize="0" autoFill="0" autoPict="0">
                <anchor moveWithCells="1">
                  <from>
                    <xdr:col>0</xdr:col>
                    <xdr:colOff>228600</xdr:colOff>
                    <xdr:row>3</xdr:row>
                    <xdr:rowOff>161925</xdr:rowOff>
                  </from>
                  <to>
                    <xdr:col>2</xdr:col>
                    <xdr:colOff>76200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Group Box 2">
              <controlPr defaultSize="0" autoFill="0" autoPict="0">
                <anchor moveWithCells="1">
                  <from>
                    <xdr:col>2</xdr:col>
                    <xdr:colOff>381000</xdr:colOff>
                    <xdr:row>4</xdr:row>
                    <xdr:rowOff>0</xdr:rowOff>
                  </from>
                  <to>
                    <xdr:col>4</xdr:col>
                    <xdr:colOff>76200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Group Box 3">
              <controlPr defaultSize="0" autoFill="0" autoPict="0">
                <anchor moveWithCells="1">
                  <from>
                    <xdr:col>4</xdr:col>
                    <xdr:colOff>552450</xdr:colOff>
                    <xdr:row>3</xdr:row>
                    <xdr:rowOff>171450</xdr:rowOff>
                  </from>
                  <to>
                    <xdr:col>7</xdr:col>
                    <xdr:colOff>180975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Group Box 4">
              <controlPr defaultSize="0" autoFill="0" autoPict="0">
                <anchor moveWithCells="1">
                  <from>
                    <xdr:col>0</xdr:col>
                    <xdr:colOff>76200</xdr:colOff>
                    <xdr:row>15</xdr:row>
                    <xdr:rowOff>66675</xdr:rowOff>
                  </from>
                  <to>
                    <xdr:col>7</xdr:col>
                    <xdr:colOff>123825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Option Button 5">
              <controlPr defaultSize="0" autoFill="0" autoLine="0" autoPict="0">
                <anchor moveWithCells="1">
                  <from>
                    <xdr:col>0</xdr:col>
                    <xdr:colOff>361950</xdr:colOff>
                    <xdr:row>4</xdr:row>
                    <xdr:rowOff>142875</xdr:rowOff>
                  </from>
                  <to>
                    <xdr:col>1</xdr:col>
                    <xdr:colOff>419100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Option Button 6">
              <controlPr defaultSize="0" autoFill="0" autoLine="0" autoPict="0">
                <anchor moveWithCells="1">
                  <from>
                    <xdr:col>0</xdr:col>
                    <xdr:colOff>361950</xdr:colOff>
                    <xdr:row>6</xdr:row>
                    <xdr:rowOff>0</xdr:rowOff>
                  </from>
                  <to>
                    <xdr:col>1</xdr:col>
                    <xdr:colOff>552450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9" name="Option Button 8">
              <controlPr defaultSize="0" autoFill="0" autoLine="0" autoPict="0">
                <anchor moveWithCells="1">
                  <from>
                    <xdr:col>0</xdr:col>
                    <xdr:colOff>361950</xdr:colOff>
                    <xdr:row>7</xdr:row>
                    <xdr:rowOff>38100</xdr:rowOff>
                  </from>
                  <to>
                    <xdr:col>1</xdr:col>
                    <xdr:colOff>419100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0" name="Option Button 9">
              <controlPr defaultSize="0" autoFill="0" autoLine="0" autoPict="0">
                <anchor moveWithCells="1">
                  <from>
                    <xdr:col>2</xdr:col>
                    <xdr:colOff>495300</xdr:colOff>
                    <xdr:row>5</xdr:row>
                    <xdr:rowOff>19050</xdr:rowOff>
                  </from>
                  <to>
                    <xdr:col>3</xdr:col>
                    <xdr:colOff>552450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1" name="Option Button 10">
              <controlPr defaultSize="0" autoFill="0" autoLine="0" autoPict="0">
                <anchor moveWithCells="1">
                  <from>
                    <xdr:col>2</xdr:col>
                    <xdr:colOff>504825</xdr:colOff>
                    <xdr:row>6</xdr:row>
                    <xdr:rowOff>76200</xdr:rowOff>
                  </from>
                  <to>
                    <xdr:col>3</xdr:col>
                    <xdr:colOff>419100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2" name="Check Box 11">
              <controlPr defaultSize="0" autoFill="0" autoLine="0" autoPict="0">
                <anchor moveWithCells="1">
                  <from>
                    <xdr:col>5</xdr:col>
                    <xdr:colOff>142875</xdr:colOff>
                    <xdr:row>4</xdr:row>
                    <xdr:rowOff>123825</xdr:rowOff>
                  </from>
                  <to>
                    <xdr:col>6</xdr:col>
                    <xdr:colOff>533400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3" name="Check Box 12">
              <controlPr defaultSize="0" autoFill="0" autoLine="0" autoPict="0">
                <anchor moveWithCells="1">
                  <from>
                    <xdr:col>5</xdr:col>
                    <xdr:colOff>142875</xdr:colOff>
                    <xdr:row>5</xdr:row>
                    <xdr:rowOff>161925</xdr:rowOff>
                  </from>
                  <to>
                    <xdr:col>6</xdr:col>
                    <xdr:colOff>228600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4" name="Check Box 13">
              <controlPr defaultSize="0" autoFill="0" autoLine="0" autoPict="0">
                <anchor moveWithCells="1">
                  <from>
                    <xdr:col>5</xdr:col>
                    <xdr:colOff>133350</xdr:colOff>
                    <xdr:row>7</xdr:row>
                    <xdr:rowOff>19050</xdr:rowOff>
                  </from>
                  <to>
                    <xdr:col>6</xdr:col>
                    <xdr:colOff>133350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5" name="Check Box 14">
              <controlPr defaultSize="0" autoFill="0" autoLine="0" autoPict="0">
                <anchor moveWithCells="1">
                  <from>
                    <xdr:col>5</xdr:col>
                    <xdr:colOff>133350</xdr:colOff>
                    <xdr:row>8</xdr:row>
                    <xdr:rowOff>28575</xdr:rowOff>
                  </from>
                  <to>
                    <xdr:col>6</xdr:col>
                    <xdr:colOff>323850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6" name="Check Box 16">
              <controlPr defaultSize="0" autoFill="0" autoLine="0" autoPict="0">
                <anchor moveWithCells="1">
                  <from>
                    <xdr:col>5</xdr:col>
                    <xdr:colOff>142875</xdr:colOff>
                    <xdr:row>9</xdr:row>
                    <xdr:rowOff>57150</xdr:rowOff>
                  </from>
                  <to>
                    <xdr:col>6</xdr:col>
                    <xdr:colOff>333375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7" name="Option Button 17">
              <controlPr defaultSize="0" autoFill="0" autoLine="0" autoPict="0">
                <anchor moveWithCells="1">
                  <from>
                    <xdr:col>0</xdr:col>
                    <xdr:colOff>533400</xdr:colOff>
                    <xdr:row>17</xdr:row>
                    <xdr:rowOff>9525</xdr:rowOff>
                  </from>
                  <to>
                    <xdr:col>1</xdr:col>
                    <xdr:colOff>571500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8" name="Option Button 18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3</xdr:col>
                    <xdr:colOff>600075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9" name="Drop Down 19">
              <controlPr defaultSize="0" autoLine="0" autoPict="0">
                <anchor moveWithCells="1">
                  <from>
                    <xdr:col>5</xdr:col>
                    <xdr:colOff>438150</xdr:colOff>
                    <xdr:row>25</xdr:row>
                    <xdr:rowOff>28575</xdr:rowOff>
                  </from>
                  <to>
                    <xdr:col>7</xdr:col>
                    <xdr:colOff>200025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D1477-06AA-492C-996F-D9CFFBBF29BC}">
  <dimension ref="N3:T27"/>
  <sheetViews>
    <sheetView tabSelected="1" topLeftCell="B1" workbookViewId="0">
      <selection activeCell="G11" sqref="G11"/>
    </sheetView>
  </sheetViews>
  <sheetFormatPr defaultRowHeight="15" x14ac:dyDescent="0.25"/>
  <cols>
    <col min="14" max="14" width="12.42578125" bestFit="1" customWidth="1"/>
    <col min="17" max="17" width="16" bestFit="1" customWidth="1"/>
    <col min="18" max="18" width="15.140625" bestFit="1" customWidth="1"/>
  </cols>
  <sheetData>
    <row r="3" spans="14:18" x14ac:dyDescent="0.25">
      <c r="N3" s="31" t="s">
        <v>1</v>
      </c>
      <c r="O3" s="31" t="s">
        <v>12</v>
      </c>
      <c r="Q3" s="31" t="s">
        <v>14</v>
      </c>
      <c r="R3" s="31"/>
    </row>
    <row r="4" spans="14:18" x14ac:dyDescent="0.25">
      <c r="N4" s="30" t="s">
        <v>2</v>
      </c>
      <c r="O4" s="30">
        <v>190</v>
      </c>
      <c r="Q4" s="30" t="s">
        <v>15</v>
      </c>
      <c r="R4" s="49"/>
    </row>
    <row r="5" spans="14:18" x14ac:dyDescent="0.25">
      <c r="N5" s="30" t="s">
        <v>3</v>
      </c>
      <c r="O5" s="30">
        <v>258</v>
      </c>
      <c r="Q5" s="30" t="s">
        <v>16</v>
      </c>
      <c r="R5" s="49"/>
    </row>
    <row r="6" spans="14:18" x14ac:dyDescent="0.25">
      <c r="N6" s="30" t="s">
        <v>4</v>
      </c>
      <c r="O6" s="30">
        <v>389</v>
      </c>
      <c r="Q6" s="30" t="s">
        <v>17</v>
      </c>
      <c r="R6" s="49"/>
    </row>
    <row r="7" spans="14:18" x14ac:dyDescent="0.25">
      <c r="N7" s="31" t="s">
        <v>29</v>
      </c>
      <c r="O7" s="27"/>
      <c r="Q7" s="30" t="s">
        <v>18</v>
      </c>
      <c r="R7" s="49"/>
    </row>
    <row r="8" spans="14:18" x14ac:dyDescent="0.25">
      <c r="N8" s="30" t="s">
        <v>5</v>
      </c>
      <c r="O8" s="30">
        <v>190</v>
      </c>
      <c r="Q8" s="30" t="s">
        <v>19</v>
      </c>
      <c r="R8" s="49"/>
    </row>
    <row r="9" spans="14:18" x14ac:dyDescent="0.25">
      <c r="N9" s="30" t="s">
        <v>6</v>
      </c>
      <c r="O9" s="30">
        <v>150</v>
      </c>
      <c r="Q9" s="30" t="s">
        <v>20</v>
      </c>
      <c r="R9" s="49"/>
    </row>
    <row r="10" spans="14:18" x14ac:dyDescent="0.25">
      <c r="N10" s="31" t="s">
        <v>30</v>
      </c>
      <c r="O10" s="27"/>
    </row>
    <row r="11" spans="14:18" x14ac:dyDescent="0.25">
      <c r="N11" s="30" t="s">
        <v>7</v>
      </c>
      <c r="O11" s="30">
        <v>75</v>
      </c>
    </row>
    <row r="12" spans="14:18" x14ac:dyDescent="0.25">
      <c r="N12" s="30" t="s">
        <v>8</v>
      </c>
      <c r="O12" s="30">
        <v>49</v>
      </c>
    </row>
    <row r="13" spans="14:18" x14ac:dyDescent="0.25">
      <c r="N13" s="30" t="s">
        <v>9</v>
      </c>
      <c r="O13" s="30">
        <v>358</v>
      </c>
    </row>
    <row r="14" spans="14:18" x14ac:dyDescent="0.25">
      <c r="N14" s="30" t="s">
        <v>10</v>
      </c>
      <c r="O14" s="30">
        <v>275</v>
      </c>
    </row>
    <row r="15" spans="14:18" x14ac:dyDescent="0.25">
      <c r="N15" s="30" t="s">
        <v>11</v>
      </c>
      <c r="O15" s="30">
        <v>65</v>
      </c>
    </row>
    <row r="19" spans="14:20" x14ac:dyDescent="0.25">
      <c r="N19" s="48" t="s">
        <v>32</v>
      </c>
      <c r="O19" s="48"/>
      <c r="P19" s="27"/>
      <c r="Q19" s="27"/>
      <c r="S19" s="31" t="s">
        <v>43</v>
      </c>
      <c r="T19" s="31" t="s">
        <v>24</v>
      </c>
    </row>
    <row r="20" spans="14:20" x14ac:dyDescent="0.25">
      <c r="N20" s="29" t="s">
        <v>33</v>
      </c>
      <c r="O20" s="29" t="s">
        <v>34</v>
      </c>
      <c r="P20" s="27"/>
      <c r="Q20" s="27"/>
      <c r="S20" s="30" t="s">
        <v>40</v>
      </c>
      <c r="T20" s="32">
        <v>1.7500000000000002E-2</v>
      </c>
    </row>
    <row r="21" spans="14:20" x14ac:dyDescent="0.25">
      <c r="N21" s="27"/>
      <c r="O21" s="27" t="s">
        <v>35</v>
      </c>
      <c r="P21" s="27"/>
      <c r="Q21" s="27"/>
      <c r="S21" s="30" t="s">
        <v>41</v>
      </c>
      <c r="T21" s="32">
        <v>2.75E-2</v>
      </c>
    </row>
    <row r="22" spans="14:20" x14ac:dyDescent="0.25">
      <c r="N22" s="27"/>
      <c r="O22" s="27" t="s">
        <v>24</v>
      </c>
      <c r="P22" s="27"/>
      <c r="Q22" s="27"/>
      <c r="S22" s="30" t="s">
        <v>42</v>
      </c>
      <c r="T22" s="32">
        <v>3.5000000000000003E-2</v>
      </c>
    </row>
    <row r="23" spans="14:20" x14ac:dyDescent="0.25">
      <c r="N23" s="27"/>
      <c r="O23" s="27" t="s">
        <v>26</v>
      </c>
      <c r="P23" s="27"/>
      <c r="Q23" s="27"/>
    </row>
    <row r="24" spans="14:20" x14ac:dyDescent="0.25">
      <c r="N24" s="27" t="s">
        <v>21</v>
      </c>
      <c r="O24" s="27" t="s">
        <v>37</v>
      </c>
      <c r="P24" s="27"/>
      <c r="Q24" s="27"/>
    </row>
    <row r="25" spans="14:20" x14ac:dyDescent="0.25">
      <c r="N25" s="27" t="s">
        <v>22</v>
      </c>
      <c r="O25" s="27"/>
      <c r="P25" s="27"/>
      <c r="Q25" s="27"/>
    </row>
    <row r="26" spans="14:20" x14ac:dyDescent="0.25">
      <c r="N26" s="27"/>
      <c r="O26" s="27"/>
      <c r="P26" s="27"/>
      <c r="Q26" s="27"/>
    </row>
    <row r="27" spans="14:20" x14ac:dyDescent="0.25">
      <c r="N27" s="27"/>
      <c r="O27" s="27" t="s">
        <v>36</v>
      </c>
      <c r="P27" s="27"/>
      <c r="Q27" s="27" t="s">
        <v>38</v>
      </c>
    </row>
  </sheetData>
  <mergeCells count="1">
    <mergeCell ref="N19:O19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16F2B-36AA-491D-AD19-62EA60514B7C}">
  <dimension ref="A2:C14"/>
  <sheetViews>
    <sheetView zoomScale="130" zoomScaleNormal="130" workbookViewId="0">
      <selection activeCell="B13" sqref="B13"/>
    </sheetView>
  </sheetViews>
  <sheetFormatPr defaultRowHeight="15" x14ac:dyDescent="0.25"/>
  <cols>
    <col min="1" max="1" width="18.28515625" bestFit="1" customWidth="1"/>
    <col min="2" max="2" width="31.85546875" bestFit="1" customWidth="1"/>
    <col min="3" max="3" width="85" bestFit="1" customWidth="1"/>
  </cols>
  <sheetData>
    <row r="2" spans="1:3" x14ac:dyDescent="0.25">
      <c r="A2" s="1" t="s">
        <v>44</v>
      </c>
      <c r="B2" s="1" t="s">
        <v>53</v>
      </c>
      <c r="C2" s="1" t="s">
        <v>54</v>
      </c>
    </row>
    <row r="3" spans="1:3" x14ac:dyDescent="0.25">
      <c r="A3" t="s">
        <v>1</v>
      </c>
      <c r="B3" t="s">
        <v>45</v>
      </c>
    </row>
    <row r="4" spans="1:3" x14ac:dyDescent="0.25">
      <c r="A4" t="s">
        <v>46</v>
      </c>
      <c r="B4" t="s">
        <v>45</v>
      </c>
    </row>
    <row r="5" spans="1:3" x14ac:dyDescent="0.25">
      <c r="A5" t="s">
        <v>30</v>
      </c>
      <c r="B5" t="s">
        <v>47</v>
      </c>
    </row>
    <row r="6" spans="1:3" x14ac:dyDescent="0.25">
      <c r="A6" t="s">
        <v>48</v>
      </c>
      <c r="B6" t="s">
        <v>45</v>
      </c>
      <c r="C6" t="s">
        <v>49</v>
      </c>
    </row>
    <row r="7" spans="1:3" x14ac:dyDescent="0.25">
      <c r="A7" t="s">
        <v>50</v>
      </c>
      <c r="B7" t="s">
        <v>45</v>
      </c>
      <c r="C7" t="s">
        <v>49</v>
      </c>
    </row>
    <row r="8" spans="1:3" x14ac:dyDescent="0.25">
      <c r="A8" t="s">
        <v>21</v>
      </c>
      <c r="B8" t="s">
        <v>51</v>
      </c>
    </row>
    <row r="9" spans="1:3" x14ac:dyDescent="0.25">
      <c r="A9" t="s">
        <v>23</v>
      </c>
      <c r="B9" t="s">
        <v>52</v>
      </c>
      <c r="C9" t="s">
        <v>57</v>
      </c>
    </row>
    <row r="10" spans="1:3" x14ac:dyDescent="0.25">
      <c r="A10" t="s">
        <v>24</v>
      </c>
      <c r="B10" t="s">
        <v>55</v>
      </c>
      <c r="C10" t="s">
        <v>56</v>
      </c>
    </row>
    <row r="11" spans="1:3" x14ac:dyDescent="0.25">
      <c r="A11" t="s">
        <v>26</v>
      </c>
      <c r="B11" t="s">
        <v>58</v>
      </c>
    </row>
    <row r="12" spans="1:3" x14ac:dyDescent="0.25">
      <c r="A12" t="s">
        <v>27</v>
      </c>
      <c r="B12" t="s">
        <v>61</v>
      </c>
    </row>
    <row r="13" spans="1:3" x14ac:dyDescent="0.25">
      <c r="A13" t="s">
        <v>59</v>
      </c>
      <c r="B13" t="s">
        <v>60</v>
      </c>
    </row>
    <row r="14" spans="1:3" x14ac:dyDescent="0.25">
      <c r="A14" t="s">
        <v>39</v>
      </c>
      <c r="B14" t="s">
        <v>55</v>
      </c>
      <c r="C14" t="s">
        <v>62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FÓRMULÁRIOS_exemplo01</vt:lpstr>
      <vt:lpstr>Formulário_exemplo02</vt:lpstr>
      <vt:lpstr>Formulário_Aula</vt:lpstr>
      <vt:lpstr>Projeto</vt:lpstr>
      <vt:lpstr>Fórmulas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Kaio Gefferson Almeida</cp:lastModifiedBy>
  <dcterms:created xsi:type="dcterms:W3CDTF">2020-02-13T16:41:11Z</dcterms:created>
  <dcterms:modified xsi:type="dcterms:W3CDTF">2020-12-04T16:00:24Z</dcterms:modified>
</cp:coreProperties>
</file>